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Bolos" sheetId="2" state="visible" r:id="rId4"/>
    <sheet name="Opções de aluguel" sheetId="3" state="visible" r:id="rId5"/>
    <sheet name="Topos" sheetId="4" state="visible" r:id="rId6"/>
    <sheet name="Andar avulso" sheetId="5" state="visible" r:id="rId7"/>
    <sheet name="Listas" sheetId="6" state="visible" r:id="rId8"/>
  </sheets>
  <definedNames>
    <definedName function="false" hidden="true" localSheetId="4" name="_xlnm._FilterDatabase" vbProcedure="false">'Andar avulso'!$A$1:$H$300</definedName>
    <definedName function="false" hidden="true" localSheetId="1" name="_xlnm._FilterDatabase" vbProcedure="false">Bolos!$A$1:$O$300</definedName>
    <definedName function="false" hidden="true" localSheetId="2" name="_xlnm._FilterDatabase" vbProcedure="false">'Opções de aluguel'!$A$1:$N$300</definedName>
    <definedName function="false" hidden="true" localSheetId="3" name="_xlnm._FilterDatabase" vbProcedure="false">Topos!$A$1:$I$300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Cada linha é UMA peça física. O status vale para todas as opções de andares desse bolo.</t>
        </r>
      </text>
    </comment>
    <comment ref="E1" authorId="0">
      <text>
        <r>
          <rPr>
            <sz val="10"/>
            <rFont val="Arial"/>
            <family val="2"/>
          </rPr>
          <t xml:space="preserve">Andares e decorações diferentes do mesmo bolo vão na aba Opções de aluguel.</t>
        </r>
      </text>
    </comment>
    <comment ref="I1" authorId="0">
      <text>
        <r>
          <rPr>
            <sz val="10"/>
            <rFont val="Arial"/>
            <family val="2"/>
          </rPr>
          <t xml:space="preserve">Nome e idade não são cobrados à parte: já estão inclusos no valor do aluguel.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Deixe em branco se o bolo só tem uma decoração.</t>
        </r>
      </text>
    </comment>
    <comment ref="F1" authorId="0">
      <text>
        <r>
          <rPr>
            <sz val="10"/>
            <rFont val="Arial"/>
            <family val="2"/>
          </rPr>
          <t xml:space="preserve">Preços das linhas de exemplo são ilustrativos.</t>
        </r>
      </text>
    </comment>
    <comment ref="G1" authorId="0">
      <text>
        <r>
          <rPr>
            <sz val="10"/>
            <rFont val="Arial"/>
            <family val="2"/>
          </rPr>
          <t xml:space="preserve">Automático: vem da aba Bolos. Alugou qualquer opção (andares ou decoração), todas as opções do mesmo bolo ficam indisponíveis.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Uma linha por unidade física (são 2). Cada uma tem status próprio.</t>
        </r>
      </text>
    </comment>
  </commentList>
</comments>
</file>

<file path=xl/sharedStrings.xml><?xml version="1.0" encoding="utf-8"?>
<sst xmlns="http://schemas.openxmlformats.org/spreadsheetml/2006/main" count="141" uniqueCount="95">
  <si>
    <t xml:space="preserve">Catálogo de aluguel — Ateline Ateliê</t>
  </si>
  <si>
    <t xml:space="preserve">Texto azul = você preenche. Texto preto = fórmula automática (não editar).</t>
  </si>
  <si>
    <t xml:space="preserve">Bolos: uma linha por PEÇA física, com andares mín. e máx. O status fica aqui.</t>
  </si>
  <si>
    <t xml:space="preserve">Opções de aluguel: uma linha por combinação de decoração + andares (JARDIM_001_FLORES_3A, JARDIM_001_BORBOLETAS_4A).</t>
  </si>
  <si>
    <t xml:space="preserve">   O status vem do bolo: alugou qualquer opção → marque o bolo como Alugado e TODAS as opções saem do site.</t>
  </si>
  <si>
    <t xml:space="preserve">Andar avulso: as 2 bases douradas, uma linha por unidade, cada uma com status próprio.</t>
  </si>
  <si>
    <t xml:space="preserve">   Para usar a base num bolo, marque 'Aceita base dourada? = Sim' na aba Bolos.</t>
  </si>
  <si>
    <t xml:space="preserve">Personalização (nome/idade) já está inclusa no aluguel. O nome e a idade do cliente vão no pedido.</t>
  </si>
  <si>
    <t xml:space="preserve">Topos: Fixo = já incluso · Opcional = cliente escolhe da aba Topos · Sem topo.</t>
  </si>
  <si>
    <t xml:space="preserve">Em manutenção = chegou avariado. Preencha Previsão de volta e Obs. manutenção.</t>
  </si>
  <si>
    <t xml:space="preserve">Códigos sem acento e sem espaço, 3 dígitos, nunca reaproveitar. Linhas de exemplo têm preços fictícios.</t>
  </si>
  <si>
    <t xml:space="preserve">Só a inicial: em 'Personalização', escolha Inicial quando o bolo aceita apenas a inicial do aniversariante.</t>
  </si>
  <si>
    <t xml:space="preserve">Refazer: bolo Inativo (a peça não existe mais, só a foto) com 'Pode ser refeito? = Sim' aparece no site como primeira locação. O preço é o de encomenda nova (coluna 'Preço encomenda nova' da aba Opções de aluguel), e a cliente ganha o desconto digitando o cupom configurado abaixo. Pedido com no mínimo 20 dias de antecedência da festa.</t>
  </si>
  <si>
    <t xml:space="preserve">Resumo</t>
  </si>
  <si>
    <t xml:space="preserve">Bolos</t>
  </si>
  <si>
    <t xml:space="preserve">Topos</t>
  </si>
  <si>
    <t xml:space="preserve">Andar avulso</t>
  </si>
  <si>
    <t xml:space="preserve">Disponível</t>
  </si>
  <si>
    <t xml:space="preserve">Alugado</t>
  </si>
  <si>
    <t xml:space="preserve">Em manutenção</t>
  </si>
  <si>
    <t xml:space="preserve">Inativo</t>
  </si>
  <si>
    <t xml:space="preserve">Total</t>
  </si>
  <si>
    <t xml:space="preserve">Inativos que podem ser refeitos</t>
  </si>
  <si>
    <t xml:space="preserve">Cupom para bolos refeitos</t>
  </si>
  <si>
    <t xml:space="preserve">Código do cupom</t>
  </si>
  <si>
    <t xml:space="preserve">REFAZ30</t>
  </si>
  <si>
    <t xml:space="preserve">Desconto</t>
  </si>
  <si>
    <t xml:space="preserve">Venda: preencha 'Preço venda (R$)' em todas as opções. O site mostra o preço de aluguel e o de venda em todas as peças. Venda tem envio para todo o Brasil; aluguel é só com retirada no Rio.</t>
  </si>
  <si>
    <t xml:space="preserve">Código do bolo</t>
  </si>
  <si>
    <t xml:space="preserve">Nome</t>
  </si>
  <si>
    <t xml:space="preserve">Tema</t>
  </si>
  <si>
    <t xml:space="preserve">Andares mín.</t>
  </si>
  <si>
    <t xml:space="preserve">Andares máx.</t>
  </si>
  <si>
    <t xml:space="preserve">Tipo de topo</t>
  </si>
  <si>
    <t xml:space="preserve">Topos compatíveis</t>
  </si>
  <si>
    <t xml:space="preserve">Aceita base dourada?</t>
  </si>
  <si>
    <t xml:space="preserve">Personalização (inclusa no aluguel)</t>
  </si>
  <si>
    <t xml:space="preserve">Status</t>
  </si>
  <si>
    <t xml:space="preserve">Previsão de volta</t>
  </si>
  <si>
    <t xml:space="preserve">Obs. manutenção</t>
  </si>
  <si>
    <t xml:space="preserve">Fotos (link)</t>
  </si>
  <si>
    <t xml:space="preserve">Observações</t>
  </si>
  <si>
    <t xml:space="preserve">Pode ser refeito?</t>
  </si>
  <si>
    <t xml:space="preserve">SAFARI_001</t>
  </si>
  <si>
    <t xml:space="preserve">Safari</t>
  </si>
  <si>
    <t xml:space="preserve">Fixo</t>
  </si>
  <si>
    <t xml:space="preserve">Sim</t>
  </si>
  <si>
    <t xml:space="preserve">Nome e idade</t>
  </si>
  <si>
    <t xml:space="preserve">JARDIM_001</t>
  </si>
  <si>
    <t xml:space="preserve">Jardim encantado</t>
  </si>
  <si>
    <t xml:space="preserve">Jardim</t>
  </si>
  <si>
    <t xml:space="preserve">Opcional</t>
  </si>
  <si>
    <t xml:space="preserve">TOPO_001, TOPO_003</t>
  </si>
  <si>
    <t xml:space="preserve">Borboleta do 2º andar descolou</t>
  </si>
  <si>
    <t xml:space="preserve">Código da opção</t>
  </si>
  <si>
    <t xml:space="preserve">Decoração</t>
  </si>
  <si>
    <t xml:space="preserve">Andares</t>
  </si>
  <si>
    <t xml:space="preserve">Nome no site</t>
  </si>
  <si>
    <t xml:space="preserve">Preço aluguel (R$)</t>
  </si>
  <si>
    <t xml:space="preserve">Status do bolo</t>
  </si>
  <si>
    <t xml:space="preserve">Aparece disponível no site?</t>
  </si>
  <si>
    <t xml:space="preserve">Andares dentro do limite?</t>
  </si>
  <si>
    <t xml:space="preserve">Fotos da opção (link)</t>
  </si>
  <si>
    <t xml:space="preserve">Preço encomenda nova (R$)</t>
  </si>
  <si>
    <t xml:space="preserve">Preço com cupom (R$)</t>
  </si>
  <si>
    <t xml:space="preserve">Aparece como 'refazer' no site?</t>
  </si>
  <si>
    <t xml:space="preserve">Preço venda (R$)</t>
  </si>
  <si>
    <t xml:space="preserve">SAFARI_001_3A</t>
  </si>
  <si>
    <t xml:space="preserve">SAFARI_001_4A</t>
  </si>
  <si>
    <t xml:space="preserve">SAFARI_001_5A</t>
  </si>
  <si>
    <t xml:space="preserve">JARDIM_001_FLORES_3A</t>
  </si>
  <si>
    <t xml:space="preserve">Flores</t>
  </si>
  <si>
    <t xml:space="preserve">JARDIM_001_BORBOLETAS_3A</t>
  </si>
  <si>
    <t xml:space="preserve">Borboletas</t>
  </si>
  <si>
    <t xml:space="preserve">JARDIM_001_BORBOLETAS_4A</t>
  </si>
  <si>
    <t xml:space="preserve">Código</t>
  </si>
  <si>
    <t xml:space="preserve">Descrição</t>
  </si>
  <si>
    <t xml:space="preserve">TOPO_001</t>
  </si>
  <si>
    <t xml:space="preserve">Coroa dourada</t>
  </si>
  <si>
    <t xml:space="preserve">Coroa com brilho dourado</t>
  </si>
  <si>
    <t xml:space="preserve">TOPO_003</t>
  </si>
  <si>
    <t xml:space="preserve">Laço rosa</t>
  </si>
  <si>
    <t xml:space="preserve">Laço de cetim rosa</t>
  </si>
  <si>
    <t xml:space="preserve">Código da unidade</t>
  </si>
  <si>
    <t xml:space="preserve">Unidades disponíveis</t>
  </si>
  <si>
    <t xml:space="preserve">BASE_DOURADA_001</t>
  </si>
  <si>
    <t xml:space="preserve">Base dourada</t>
  </si>
  <si>
    <t xml:space="preserve">Andar avulso dourado; entra como base para deixar o bolo maior</t>
  </si>
  <si>
    <t xml:space="preserve">BASE_DOURADA_002</t>
  </si>
  <si>
    <t xml:space="preserve">Sim/Não</t>
  </si>
  <si>
    <t xml:space="preserve">Personalização</t>
  </si>
  <si>
    <t xml:space="preserve">Não</t>
  </si>
  <si>
    <t xml:space="preserve">Sem topo</t>
  </si>
  <si>
    <t xml:space="preserve">Idade</t>
  </si>
  <si>
    <t xml:space="preserve">Inicial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</si>
</sst>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dd/mm/yyyy"/>
    <numFmt numFmtId="167" formatCode="&quot;R$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4E5A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A4E5A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7CC"/>
      </left>
      <right style="thin">
        <color rgb="FFD9C7CC"/>
      </right>
      <top style="thin">
        <color rgb="FFD9C7CC"/>
      </top>
      <bottom style="thin">
        <color rgb="FFD9C7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7A4E5A"/>
          <bgColor rgb="FF000000"/>
        </patternFill>
      </fill>
    </dxf>
    <dxf>
      <fill>
        <patternFill patternType="solid">
          <fgColor rgb="FFE3F4E1"/>
          <bgColor rgb="FF000000"/>
        </patternFill>
      </fill>
    </dxf>
    <dxf>
      <fill>
        <patternFill patternType="solid">
          <fgColor rgb="FFFBE0E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3F4E1"/>
        </patternFill>
      </fill>
    </dxf>
    <dxf>
      <fill>
        <patternFill>
          <bgColor rgb="FFFFF4D6"/>
        </patternFill>
      </fill>
    </dxf>
    <dxf>
      <fill>
        <patternFill>
          <bgColor rgb="FFFBE0E0"/>
        </patternFill>
      </fill>
    </dxf>
    <dxf>
      <fill>
        <patternFill>
          <bgColor rgb="FFE7E7E7"/>
        </patternFill>
      </fill>
    </dxf>
    <dxf>
      <fill>
        <patternFill patternType="solid">
          <fgColor rgb="FFFFF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7CC"/>
      <rgbColor rgb="FF808080"/>
      <rgbColor rgb="FF9999FF"/>
      <rgbColor rgb="FF7A4E5A"/>
      <rgbColor rgb="FFFFF4D6"/>
      <rgbColor rgb="FFE7E7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4E1"/>
      <rgbColor rgb="FFFFFF99"/>
      <rgbColor rgb="FF99CCFF"/>
      <rgbColor rgb="FFFF99CC"/>
      <rgbColor rgb="FFCC99FF"/>
      <rgbColor rgb="FFFB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3" t="s">
        <v>11</v>
      </c>
    </row>
    <row r="14" customFormat="false" ht="15" hidden="false" customHeight="true" outlineLevel="0" collapsed="false">
      <c r="A14" s="3" t="s">
        <v>12</v>
      </c>
    </row>
    <row r="15" customFormat="false" ht="15" hidden="false" customHeight="true" outlineLevel="0" collapsed="false">
      <c r="A15" s="4" t="s">
        <v>13</v>
      </c>
      <c r="B15" s="4" t="s">
        <v>14</v>
      </c>
      <c r="C15" s="4" t="s">
        <v>15</v>
      </c>
      <c r="D15" s="4" t="s">
        <v>16</v>
      </c>
    </row>
    <row r="16" customFormat="false" ht="15" hidden="false" customHeight="true" outlineLevel="0" collapsed="false">
      <c r="A16" s="5" t="s">
        <v>17</v>
      </c>
      <c r="B16" s="5" t="n">
        <f aca="false">COUNTIF(Bolos!$J:$J,A16)</f>
        <v>1</v>
      </c>
      <c r="C16" s="5" t="n">
        <f aca="false">COUNTIF(Topos!$E:$E,A16)</f>
        <v>1</v>
      </c>
      <c r="D16" s="5" t="n">
        <f aca="false">COUNTIF('Andar avulso'!$E:$E,A16)</f>
        <v>2</v>
      </c>
    </row>
    <row r="17" customFormat="false" ht="15" hidden="false" customHeight="true" outlineLevel="0" collapsed="false">
      <c r="A17" s="5" t="s">
        <v>18</v>
      </c>
      <c r="B17" s="5" t="n">
        <f aca="false">COUNTIF(Bolos!$J:$J,A17)</f>
        <v>0</v>
      </c>
      <c r="C17" s="5" t="n">
        <f aca="false">COUNTIF(Topos!$E:$E,A17)</f>
        <v>1</v>
      </c>
      <c r="D17" s="5" t="n">
        <f aca="false">COUNTIF('Andar avulso'!$E:$E,A17)</f>
        <v>0</v>
      </c>
    </row>
    <row r="18" customFormat="false" ht="15" hidden="false" customHeight="true" outlineLevel="0" collapsed="false">
      <c r="A18" s="5" t="s">
        <v>19</v>
      </c>
      <c r="B18" s="5" t="n">
        <f aca="false">COUNTIF(Bolos!$J:$J,A18)</f>
        <v>1</v>
      </c>
      <c r="C18" s="5" t="n">
        <f aca="false">COUNTIF(Topos!$E:$E,A18)</f>
        <v>0</v>
      </c>
      <c r="D18" s="5" t="n">
        <f aca="false">COUNTIF('Andar avulso'!$E:$E,A18)</f>
        <v>0</v>
      </c>
    </row>
    <row r="19" customFormat="false" ht="15" hidden="false" customHeight="true" outlineLevel="0" collapsed="false">
      <c r="A19" s="5" t="s">
        <v>20</v>
      </c>
      <c r="B19" s="5" t="n">
        <f aca="false">COUNTIF(Bolos!$J:$J,A19)</f>
        <v>0</v>
      </c>
      <c r="C19" s="5" t="n">
        <f aca="false">COUNTIF(Topos!$E:$E,A19)</f>
        <v>0</v>
      </c>
      <c r="D19" s="5" t="n">
        <f aca="false">COUNTIF('Andar avulso'!$E:$E,A19)</f>
        <v>0</v>
      </c>
    </row>
    <row r="20" customFormat="false" ht="15" hidden="false" customHeight="true" outlineLevel="0" collapsed="false">
      <c r="A20" s="6" t="s">
        <v>21</v>
      </c>
      <c r="B20" s="6" t="n">
        <f aca="false">SUM(B16:B19)</f>
        <v>2</v>
      </c>
      <c r="C20" s="6" t="n">
        <f aca="false">SUM(C16:C19)</f>
        <v>2</v>
      </c>
      <c r="D20" s="6" t="n">
        <f aca="false">SUM(D16:D19)</f>
        <v>2</v>
      </c>
    </row>
    <row r="22" customFormat="false" ht="15" hidden="false" customHeight="true" outlineLevel="0" collapsed="false">
      <c r="A22" s="5" t="s">
        <v>22</v>
      </c>
      <c r="B22" s="5" t="n">
        <f aca="false">COUNTIFS(Bolos!$J:$J,"Inativo",Bolos!$O:$O,"Sim")</f>
        <v>0</v>
      </c>
    </row>
    <row r="24" customFormat="false" ht="15" hidden="false" customHeight="true" outlineLevel="0" collapsed="false">
      <c r="A24" s="4" t="s">
        <v>23</v>
      </c>
      <c r="B24" s="4"/>
    </row>
    <row r="25" customFormat="false" ht="15" hidden="false" customHeight="true" outlineLevel="0" collapsed="false">
      <c r="A25" s="5" t="s">
        <v>24</v>
      </c>
      <c r="B25" s="7" t="s">
        <v>25</v>
      </c>
    </row>
    <row r="26" customFormat="false" ht="15" hidden="false" customHeight="true" outlineLevel="0" collapsed="false">
      <c r="A26" s="5" t="s">
        <v>26</v>
      </c>
      <c r="B26" s="8" t="n">
        <v>0.3</v>
      </c>
    </row>
    <row r="28" customFormat="false" ht="15" hidden="false" customHeight="false" outlineLevel="0" collapsed="false">
      <c r="A28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6" min="6" style="1" width="13"/>
    <col collapsed="false" customWidth="true" hidden="false" outlineLevel="0" max="7" min="7" style="1" width="20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13"/>
    <col collapsed="false" customWidth="true" hidden="false" outlineLevel="0" max="12" min="12" style="1" width="26"/>
    <col collapsed="false" customWidth="true" hidden="false" outlineLevel="0" max="13" min="13" style="1" width="22"/>
    <col collapsed="false" customWidth="true" hidden="false" outlineLevel="0" max="14" min="14" style="1" width="26"/>
    <col collapsed="false" customWidth="true" hidden="false" outlineLevel="0" max="15" min="15" style="1" width="14"/>
  </cols>
  <sheetData>
    <row r="1" customFormat="false" ht="33.75" hidden="false" customHeight="tru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</row>
    <row r="2" customFormat="false" ht="15" hidden="false" customHeight="true" outlineLevel="0" collapsed="false">
      <c r="A2" s="7" t="s">
        <v>43</v>
      </c>
      <c r="B2" s="7" t="s">
        <v>44</v>
      </c>
      <c r="C2" s="7" t="s">
        <v>44</v>
      </c>
      <c r="D2" s="7" t="n">
        <v>3</v>
      </c>
      <c r="E2" s="7" t="n">
        <v>5</v>
      </c>
      <c r="F2" s="7" t="s">
        <v>45</v>
      </c>
      <c r="G2" s="7"/>
      <c r="H2" s="7" t="s">
        <v>46</v>
      </c>
      <c r="I2" s="7" t="s">
        <v>47</v>
      </c>
      <c r="J2" s="7" t="s">
        <v>17</v>
      </c>
      <c r="K2" s="10"/>
      <c r="L2" s="7"/>
      <c r="M2" s="7"/>
      <c r="N2" s="7"/>
      <c r="O2" s="7"/>
    </row>
    <row r="3" customFormat="false" ht="15" hidden="false" customHeight="true" outlineLevel="0" collapsed="false">
      <c r="A3" s="7" t="s">
        <v>48</v>
      </c>
      <c r="B3" s="7" t="s">
        <v>49</v>
      </c>
      <c r="C3" s="7" t="s">
        <v>50</v>
      </c>
      <c r="D3" s="7" t="n">
        <v>3</v>
      </c>
      <c r="E3" s="7" t="n">
        <v>4</v>
      </c>
      <c r="F3" s="7" t="s">
        <v>51</v>
      </c>
      <c r="G3" s="7" t="s">
        <v>52</v>
      </c>
      <c r="H3" s="7" t="s">
        <v>46</v>
      </c>
      <c r="I3" s="7" t="s">
        <v>29</v>
      </c>
      <c r="J3" s="7" t="s">
        <v>19</v>
      </c>
      <c r="K3" s="10" t="n">
        <v>46323</v>
      </c>
      <c r="L3" s="7" t="s">
        <v>53</v>
      </c>
      <c r="M3" s="7"/>
      <c r="N3" s="7"/>
      <c r="O3" s="7"/>
    </row>
    <row r="4" customFormat="false" ht="15" hidden="false" customHeight="true" outlineLevel="0" collapsed="false">
      <c r="K4" s="11"/>
    </row>
    <row r="5" customFormat="false" ht="15" hidden="false" customHeight="true" outlineLevel="0" collapsed="false">
      <c r="K5" s="11"/>
    </row>
    <row r="6" customFormat="false" ht="15" hidden="false" customHeight="true" outlineLevel="0" collapsed="false">
      <c r="K6" s="11"/>
    </row>
    <row r="7" customFormat="false" ht="15" hidden="false" customHeight="true" outlineLevel="0" collapsed="false">
      <c r="K7" s="11"/>
    </row>
    <row r="8" customFormat="false" ht="15" hidden="false" customHeight="true" outlineLevel="0" collapsed="false">
      <c r="K8" s="11"/>
    </row>
    <row r="9" customFormat="false" ht="15" hidden="false" customHeight="true" outlineLevel="0" collapsed="false">
      <c r="K9" s="11"/>
    </row>
    <row r="10" customFormat="false" ht="15" hidden="false" customHeight="true" outlineLevel="0" collapsed="false">
      <c r="K10" s="11"/>
    </row>
    <row r="11" customFormat="false" ht="15" hidden="false" customHeight="true" outlineLevel="0" collapsed="false">
      <c r="K11" s="11"/>
    </row>
    <row r="12" customFormat="false" ht="15" hidden="false" customHeight="true" outlineLevel="0" collapsed="false">
      <c r="K12" s="11"/>
    </row>
    <row r="13" customFormat="false" ht="15" hidden="false" customHeight="true" outlineLevel="0" collapsed="false">
      <c r="K13" s="11"/>
    </row>
    <row r="14" customFormat="false" ht="15" hidden="false" customHeight="true" outlineLevel="0" collapsed="false">
      <c r="K14" s="11"/>
    </row>
    <row r="15" customFormat="false" ht="15" hidden="false" customHeight="true" outlineLevel="0" collapsed="false">
      <c r="K15" s="11"/>
    </row>
    <row r="16" customFormat="false" ht="15" hidden="false" customHeight="true" outlineLevel="0" collapsed="false">
      <c r="K16" s="11"/>
    </row>
    <row r="17" customFormat="false" ht="15" hidden="false" customHeight="true" outlineLevel="0" collapsed="false">
      <c r="K17" s="11"/>
    </row>
    <row r="18" customFormat="false" ht="15" hidden="false" customHeight="true" outlineLevel="0" collapsed="false">
      <c r="K18" s="11"/>
    </row>
    <row r="19" customFormat="false" ht="15" hidden="false" customHeight="true" outlineLevel="0" collapsed="false">
      <c r="K19" s="11"/>
    </row>
    <row r="20" customFormat="false" ht="15" hidden="false" customHeight="true" outlineLevel="0" collapsed="false">
      <c r="K20" s="11"/>
    </row>
    <row r="21" customFormat="false" ht="15" hidden="false" customHeight="true" outlineLevel="0" collapsed="false">
      <c r="K21" s="11"/>
    </row>
    <row r="22" customFormat="false" ht="15" hidden="false" customHeight="true" outlineLevel="0" collapsed="false">
      <c r="K22" s="11"/>
    </row>
    <row r="23" customFormat="false" ht="15" hidden="false" customHeight="true" outlineLevel="0" collapsed="false">
      <c r="K23" s="11"/>
    </row>
    <row r="24" customFormat="false" ht="15" hidden="false" customHeight="true" outlineLevel="0" collapsed="false">
      <c r="K24" s="11"/>
    </row>
    <row r="25" customFormat="false" ht="15" hidden="false" customHeight="true" outlineLevel="0" collapsed="false">
      <c r="K25" s="11"/>
    </row>
    <row r="26" customFormat="false" ht="15" hidden="false" customHeight="true" outlineLevel="0" collapsed="false">
      <c r="K26" s="11"/>
    </row>
    <row r="27" customFormat="false" ht="15" hidden="false" customHeight="true" outlineLevel="0" collapsed="false">
      <c r="K27" s="11"/>
    </row>
    <row r="28" customFormat="false" ht="15" hidden="false" customHeight="true" outlineLevel="0" collapsed="false">
      <c r="K28" s="11"/>
    </row>
    <row r="29" customFormat="false" ht="15" hidden="false" customHeight="true" outlineLevel="0" collapsed="false">
      <c r="K29" s="11"/>
    </row>
    <row r="30" customFormat="false" ht="15" hidden="false" customHeight="true" outlineLevel="0" collapsed="false">
      <c r="K30" s="11"/>
    </row>
    <row r="31" customFormat="false" ht="15" hidden="false" customHeight="true" outlineLevel="0" collapsed="false">
      <c r="K31" s="11"/>
    </row>
    <row r="32" customFormat="false" ht="15" hidden="false" customHeight="true" outlineLevel="0" collapsed="false">
      <c r="K32" s="11"/>
    </row>
    <row r="33" customFormat="false" ht="15" hidden="false" customHeight="true" outlineLevel="0" collapsed="false">
      <c r="K33" s="11"/>
    </row>
    <row r="34" customFormat="false" ht="15" hidden="false" customHeight="true" outlineLevel="0" collapsed="false">
      <c r="K34" s="11"/>
    </row>
    <row r="35" customFormat="false" ht="15" hidden="false" customHeight="true" outlineLevel="0" collapsed="false">
      <c r="K35" s="11"/>
    </row>
    <row r="36" customFormat="false" ht="15" hidden="false" customHeight="true" outlineLevel="0" collapsed="false">
      <c r="K36" s="11"/>
    </row>
    <row r="37" customFormat="false" ht="15" hidden="false" customHeight="true" outlineLevel="0" collapsed="false">
      <c r="K37" s="11"/>
    </row>
    <row r="38" customFormat="false" ht="15" hidden="false" customHeight="true" outlineLevel="0" collapsed="false">
      <c r="K38" s="11"/>
    </row>
    <row r="39" customFormat="false" ht="15" hidden="false" customHeight="true" outlineLevel="0" collapsed="false">
      <c r="K39" s="11"/>
    </row>
    <row r="40" customFormat="false" ht="15" hidden="false" customHeight="true" outlineLevel="0" collapsed="false">
      <c r="K40" s="11"/>
    </row>
    <row r="41" customFormat="false" ht="15" hidden="false" customHeight="true" outlineLevel="0" collapsed="false">
      <c r="K41" s="11"/>
    </row>
    <row r="42" customFormat="false" ht="15" hidden="false" customHeight="true" outlineLevel="0" collapsed="false">
      <c r="K42" s="11"/>
    </row>
    <row r="43" customFormat="false" ht="15" hidden="false" customHeight="true" outlineLevel="0" collapsed="false">
      <c r="K43" s="11"/>
    </row>
    <row r="44" customFormat="false" ht="15" hidden="false" customHeight="true" outlineLevel="0" collapsed="false">
      <c r="K44" s="11"/>
    </row>
    <row r="45" customFormat="false" ht="15" hidden="false" customHeight="true" outlineLevel="0" collapsed="false">
      <c r="K45" s="11"/>
    </row>
    <row r="46" customFormat="false" ht="15" hidden="false" customHeight="true" outlineLevel="0" collapsed="false">
      <c r="K46" s="11"/>
    </row>
    <row r="47" customFormat="false" ht="15" hidden="false" customHeight="true" outlineLevel="0" collapsed="false">
      <c r="K47" s="11"/>
    </row>
    <row r="48" customFormat="false" ht="15" hidden="false" customHeight="true" outlineLevel="0" collapsed="false">
      <c r="K48" s="11"/>
    </row>
    <row r="49" customFormat="false" ht="15" hidden="false" customHeight="true" outlineLevel="0" collapsed="false">
      <c r="K49" s="11"/>
    </row>
    <row r="50" customFormat="false" ht="15" hidden="false" customHeight="true" outlineLevel="0" collapsed="false">
      <c r="K50" s="11"/>
    </row>
    <row r="51" customFormat="false" ht="15" hidden="false" customHeight="true" outlineLevel="0" collapsed="false">
      <c r="K51" s="11"/>
    </row>
    <row r="52" customFormat="false" ht="15" hidden="false" customHeight="true" outlineLevel="0" collapsed="false">
      <c r="K52" s="11"/>
    </row>
    <row r="53" customFormat="false" ht="15" hidden="false" customHeight="true" outlineLevel="0" collapsed="false">
      <c r="K53" s="11"/>
    </row>
    <row r="54" customFormat="false" ht="15" hidden="false" customHeight="true" outlineLevel="0" collapsed="false">
      <c r="K54" s="11"/>
    </row>
    <row r="55" customFormat="false" ht="15" hidden="false" customHeight="true" outlineLevel="0" collapsed="false">
      <c r="K55" s="11"/>
    </row>
    <row r="56" customFormat="false" ht="15" hidden="false" customHeight="true" outlineLevel="0" collapsed="false">
      <c r="K56" s="11"/>
    </row>
    <row r="57" customFormat="false" ht="15" hidden="false" customHeight="true" outlineLevel="0" collapsed="false">
      <c r="K57" s="11"/>
    </row>
    <row r="58" customFormat="false" ht="15" hidden="false" customHeight="true" outlineLevel="0" collapsed="false">
      <c r="K58" s="11"/>
    </row>
    <row r="59" customFormat="false" ht="15" hidden="false" customHeight="true" outlineLevel="0" collapsed="false">
      <c r="K59" s="11"/>
    </row>
    <row r="60" customFormat="false" ht="15" hidden="false" customHeight="true" outlineLevel="0" collapsed="false">
      <c r="K60" s="11"/>
    </row>
    <row r="61" customFormat="false" ht="15" hidden="false" customHeight="true" outlineLevel="0" collapsed="false">
      <c r="K61" s="11"/>
    </row>
    <row r="62" customFormat="false" ht="15" hidden="false" customHeight="true" outlineLevel="0" collapsed="false">
      <c r="K62" s="11"/>
    </row>
    <row r="63" customFormat="false" ht="15" hidden="false" customHeight="true" outlineLevel="0" collapsed="false">
      <c r="K63" s="11"/>
    </row>
    <row r="64" customFormat="false" ht="15" hidden="false" customHeight="true" outlineLevel="0" collapsed="false">
      <c r="K64" s="11"/>
    </row>
    <row r="65" customFormat="false" ht="15" hidden="false" customHeight="true" outlineLevel="0" collapsed="false">
      <c r="K65" s="11"/>
    </row>
    <row r="66" customFormat="false" ht="15" hidden="false" customHeight="true" outlineLevel="0" collapsed="false">
      <c r="K66" s="11"/>
    </row>
    <row r="67" customFormat="false" ht="15" hidden="false" customHeight="true" outlineLevel="0" collapsed="false">
      <c r="K67" s="11"/>
    </row>
    <row r="68" customFormat="false" ht="15" hidden="false" customHeight="true" outlineLevel="0" collapsed="false">
      <c r="K68" s="11"/>
    </row>
    <row r="69" customFormat="false" ht="15" hidden="false" customHeight="true" outlineLevel="0" collapsed="false">
      <c r="K69" s="11"/>
    </row>
    <row r="70" customFormat="false" ht="15" hidden="false" customHeight="true" outlineLevel="0" collapsed="false">
      <c r="K70" s="11"/>
    </row>
    <row r="71" customFormat="false" ht="15" hidden="false" customHeight="true" outlineLevel="0" collapsed="false">
      <c r="K71" s="11"/>
    </row>
    <row r="72" customFormat="false" ht="15" hidden="false" customHeight="true" outlineLevel="0" collapsed="false">
      <c r="K72" s="11"/>
    </row>
    <row r="73" customFormat="false" ht="15" hidden="false" customHeight="true" outlineLevel="0" collapsed="false">
      <c r="K73" s="11"/>
    </row>
    <row r="74" customFormat="false" ht="15" hidden="false" customHeight="true" outlineLevel="0" collapsed="false">
      <c r="K74" s="11"/>
    </row>
    <row r="75" customFormat="false" ht="15" hidden="false" customHeight="true" outlineLevel="0" collapsed="false">
      <c r="K75" s="11"/>
    </row>
    <row r="76" customFormat="false" ht="15" hidden="false" customHeight="true" outlineLevel="0" collapsed="false">
      <c r="K76" s="11"/>
    </row>
    <row r="77" customFormat="false" ht="15" hidden="false" customHeight="true" outlineLevel="0" collapsed="false">
      <c r="K77" s="11"/>
    </row>
    <row r="78" customFormat="false" ht="15" hidden="false" customHeight="true" outlineLevel="0" collapsed="false">
      <c r="K78" s="11"/>
    </row>
    <row r="79" customFormat="false" ht="15" hidden="false" customHeight="true" outlineLevel="0" collapsed="false">
      <c r="K79" s="11"/>
    </row>
    <row r="80" customFormat="false" ht="15" hidden="false" customHeight="true" outlineLevel="0" collapsed="false">
      <c r="K80" s="11"/>
    </row>
    <row r="81" customFormat="false" ht="15" hidden="false" customHeight="true" outlineLevel="0" collapsed="false">
      <c r="K81" s="11"/>
    </row>
    <row r="82" customFormat="false" ht="15" hidden="false" customHeight="true" outlineLevel="0" collapsed="false">
      <c r="K82" s="11"/>
    </row>
    <row r="83" customFormat="false" ht="15" hidden="false" customHeight="true" outlineLevel="0" collapsed="false">
      <c r="K83" s="11"/>
    </row>
    <row r="84" customFormat="false" ht="15" hidden="false" customHeight="true" outlineLevel="0" collapsed="false">
      <c r="K84" s="11"/>
    </row>
    <row r="85" customFormat="false" ht="15" hidden="false" customHeight="true" outlineLevel="0" collapsed="false">
      <c r="K85" s="11"/>
    </row>
    <row r="86" customFormat="false" ht="15" hidden="false" customHeight="true" outlineLevel="0" collapsed="false">
      <c r="K86" s="11"/>
    </row>
    <row r="87" customFormat="false" ht="15" hidden="false" customHeight="true" outlineLevel="0" collapsed="false">
      <c r="K87" s="11"/>
    </row>
    <row r="88" customFormat="false" ht="15" hidden="false" customHeight="true" outlineLevel="0" collapsed="false">
      <c r="K88" s="11"/>
    </row>
    <row r="89" customFormat="false" ht="15" hidden="false" customHeight="true" outlineLevel="0" collapsed="false">
      <c r="K89" s="11"/>
    </row>
    <row r="90" customFormat="false" ht="15" hidden="false" customHeight="true" outlineLevel="0" collapsed="false">
      <c r="K90" s="11"/>
    </row>
    <row r="91" customFormat="false" ht="15" hidden="false" customHeight="true" outlineLevel="0" collapsed="false">
      <c r="K91" s="11"/>
    </row>
    <row r="92" customFormat="false" ht="15" hidden="false" customHeight="true" outlineLevel="0" collapsed="false">
      <c r="K92" s="11"/>
    </row>
    <row r="93" customFormat="false" ht="15" hidden="false" customHeight="true" outlineLevel="0" collapsed="false">
      <c r="K93" s="11"/>
    </row>
    <row r="94" customFormat="false" ht="15" hidden="false" customHeight="true" outlineLevel="0" collapsed="false">
      <c r="K94" s="11"/>
    </row>
    <row r="95" customFormat="false" ht="15" hidden="false" customHeight="true" outlineLevel="0" collapsed="false">
      <c r="K95" s="11"/>
    </row>
    <row r="96" customFormat="false" ht="15" hidden="false" customHeight="true" outlineLevel="0" collapsed="false">
      <c r="K96" s="11"/>
    </row>
    <row r="97" customFormat="false" ht="15" hidden="false" customHeight="true" outlineLevel="0" collapsed="false">
      <c r="K97" s="11"/>
    </row>
    <row r="98" customFormat="false" ht="15" hidden="false" customHeight="true" outlineLevel="0" collapsed="false">
      <c r="K98" s="11"/>
    </row>
    <row r="99" customFormat="false" ht="15" hidden="false" customHeight="true" outlineLevel="0" collapsed="false">
      <c r="K99" s="11"/>
    </row>
    <row r="100" customFormat="false" ht="15" hidden="false" customHeight="true" outlineLevel="0" collapsed="false">
      <c r="K100" s="11"/>
    </row>
    <row r="101" customFormat="false" ht="15" hidden="false" customHeight="true" outlineLevel="0" collapsed="false">
      <c r="K101" s="11"/>
    </row>
    <row r="102" customFormat="false" ht="15" hidden="false" customHeight="true" outlineLevel="0" collapsed="false">
      <c r="K102" s="11"/>
    </row>
    <row r="103" customFormat="false" ht="15" hidden="false" customHeight="true" outlineLevel="0" collapsed="false">
      <c r="K103" s="11"/>
    </row>
    <row r="104" customFormat="false" ht="15" hidden="false" customHeight="true" outlineLevel="0" collapsed="false">
      <c r="K104" s="11"/>
    </row>
    <row r="105" customFormat="false" ht="15" hidden="false" customHeight="true" outlineLevel="0" collapsed="false">
      <c r="K105" s="11"/>
    </row>
    <row r="106" customFormat="false" ht="15" hidden="false" customHeight="true" outlineLevel="0" collapsed="false">
      <c r="K106" s="11"/>
    </row>
    <row r="107" customFormat="false" ht="15" hidden="false" customHeight="true" outlineLevel="0" collapsed="false">
      <c r="K107" s="11"/>
    </row>
    <row r="108" customFormat="false" ht="15" hidden="false" customHeight="true" outlineLevel="0" collapsed="false">
      <c r="K108" s="11"/>
    </row>
    <row r="109" customFormat="false" ht="15" hidden="false" customHeight="true" outlineLevel="0" collapsed="false">
      <c r="K109" s="11"/>
    </row>
    <row r="110" customFormat="false" ht="15" hidden="false" customHeight="true" outlineLevel="0" collapsed="false">
      <c r="K110" s="11"/>
    </row>
    <row r="111" customFormat="false" ht="15" hidden="false" customHeight="true" outlineLevel="0" collapsed="false">
      <c r="K111" s="11"/>
    </row>
    <row r="112" customFormat="false" ht="15" hidden="false" customHeight="true" outlineLevel="0" collapsed="false">
      <c r="K112" s="11"/>
    </row>
    <row r="113" customFormat="false" ht="15" hidden="false" customHeight="true" outlineLevel="0" collapsed="false">
      <c r="K113" s="11"/>
    </row>
    <row r="114" customFormat="false" ht="15" hidden="false" customHeight="true" outlineLevel="0" collapsed="false">
      <c r="K114" s="11"/>
    </row>
    <row r="115" customFormat="false" ht="15" hidden="false" customHeight="true" outlineLevel="0" collapsed="false">
      <c r="K115" s="11"/>
    </row>
    <row r="116" customFormat="false" ht="15" hidden="false" customHeight="true" outlineLevel="0" collapsed="false">
      <c r="K116" s="11"/>
    </row>
    <row r="117" customFormat="false" ht="15" hidden="false" customHeight="true" outlineLevel="0" collapsed="false">
      <c r="K117" s="11"/>
    </row>
    <row r="118" customFormat="false" ht="15" hidden="false" customHeight="true" outlineLevel="0" collapsed="false">
      <c r="K118" s="11"/>
    </row>
    <row r="119" customFormat="false" ht="15" hidden="false" customHeight="true" outlineLevel="0" collapsed="false">
      <c r="K119" s="11"/>
    </row>
    <row r="120" customFormat="false" ht="15" hidden="false" customHeight="true" outlineLevel="0" collapsed="false">
      <c r="K120" s="11"/>
    </row>
    <row r="121" customFormat="false" ht="15" hidden="false" customHeight="true" outlineLevel="0" collapsed="false">
      <c r="K121" s="11"/>
    </row>
    <row r="122" customFormat="false" ht="15" hidden="false" customHeight="true" outlineLevel="0" collapsed="false">
      <c r="K122" s="11"/>
    </row>
    <row r="123" customFormat="false" ht="15" hidden="false" customHeight="true" outlineLevel="0" collapsed="false">
      <c r="K123" s="11"/>
    </row>
    <row r="124" customFormat="false" ht="15" hidden="false" customHeight="true" outlineLevel="0" collapsed="false">
      <c r="K124" s="11"/>
    </row>
    <row r="125" customFormat="false" ht="15" hidden="false" customHeight="true" outlineLevel="0" collapsed="false">
      <c r="K125" s="11"/>
    </row>
    <row r="126" customFormat="false" ht="15" hidden="false" customHeight="true" outlineLevel="0" collapsed="false">
      <c r="K126" s="11"/>
    </row>
    <row r="127" customFormat="false" ht="15" hidden="false" customHeight="true" outlineLevel="0" collapsed="false">
      <c r="K127" s="11"/>
    </row>
    <row r="128" customFormat="false" ht="15" hidden="false" customHeight="true" outlineLevel="0" collapsed="false">
      <c r="K128" s="11"/>
    </row>
    <row r="129" customFormat="false" ht="15" hidden="false" customHeight="true" outlineLevel="0" collapsed="false">
      <c r="K129" s="11"/>
    </row>
    <row r="130" customFormat="false" ht="15" hidden="false" customHeight="true" outlineLevel="0" collapsed="false">
      <c r="K130" s="11"/>
    </row>
    <row r="131" customFormat="false" ht="15" hidden="false" customHeight="true" outlineLevel="0" collapsed="false">
      <c r="K131" s="11"/>
    </row>
    <row r="132" customFormat="false" ht="15" hidden="false" customHeight="true" outlineLevel="0" collapsed="false">
      <c r="K132" s="11"/>
    </row>
    <row r="133" customFormat="false" ht="15" hidden="false" customHeight="true" outlineLevel="0" collapsed="false">
      <c r="K133" s="11"/>
    </row>
    <row r="134" customFormat="false" ht="15" hidden="false" customHeight="true" outlineLevel="0" collapsed="false">
      <c r="K134" s="11"/>
    </row>
    <row r="135" customFormat="false" ht="15" hidden="false" customHeight="true" outlineLevel="0" collapsed="false">
      <c r="K135" s="11"/>
    </row>
    <row r="136" customFormat="false" ht="15" hidden="false" customHeight="true" outlineLevel="0" collapsed="false">
      <c r="K136" s="11"/>
    </row>
    <row r="137" customFormat="false" ht="15" hidden="false" customHeight="true" outlineLevel="0" collapsed="false">
      <c r="K137" s="11"/>
    </row>
    <row r="138" customFormat="false" ht="15" hidden="false" customHeight="true" outlineLevel="0" collapsed="false">
      <c r="K138" s="11"/>
    </row>
    <row r="139" customFormat="false" ht="15" hidden="false" customHeight="true" outlineLevel="0" collapsed="false">
      <c r="K139" s="11"/>
    </row>
    <row r="140" customFormat="false" ht="15" hidden="false" customHeight="true" outlineLevel="0" collapsed="false">
      <c r="K140" s="11"/>
    </row>
    <row r="141" customFormat="false" ht="15" hidden="false" customHeight="true" outlineLevel="0" collapsed="false">
      <c r="K141" s="11"/>
    </row>
    <row r="142" customFormat="false" ht="15" hidden="false" customHeight="true" outlineLevel="0" collapsed="false">
      <c r="K142" s="11"/>
    </row>
    <row r="143" customFormat="false" ht="15" hidden="false" customHeight="true" outlineLevel="0" collapsed="false">
      <c r="K143" s="11"/>
    </row>
    <row r="144" customFormat="false" ht="15" hidden="false" customHeight="true" outlineLevel="0" collapsed="false">
      <c r="K144" s="11"/>
    </row>
    <row r="145" customFormat="false" ht="15" hidden="false" customHeight="true" outlineLevel="0" collapsed="false">
      <c r="K145" s="11"/>
    </row>
    <row r="146" customFormat="false" ht="15" hidden="false" customHeight="true" outlineLevel="0" collapsed="false">
      <c r="K146" s="11"/>
    </row>
    <row r="147" customFormat="false" ht="15" hidden="false" customHeight="true" outlineLevel="0" collapsed="false">
      <c r="K147" s="11"/>
    </row>
    <row r="148" customFormat="false" ht="15" hidden="false" customHeight="true" outlineLevel="0" collapsed="false">
      <c r="K148" s="11"/>
    </row>
    <row r="149" customFormat="false" ht="15" hidden="false" customHeight="true" outlineLevel="0" collapsed="false">
      <c r="K149" s="11"/>
    </row>
    <row r="150" customFormat="false" ht="15" hidden="false" customHeight="true" outlineLevel="0" collapsed="false">
      <c r="K150" s="11"/>
    </row>
    <row r="151" customFormat="false" ht="15" hidden="false" customHeight="true" outlineLevel="0" collapsed="false">
      <c r="K151" s="11"/>
    </row>
    <row r="152" customFormat="false" ht="15" hidden="false" customHeight="true" outlineLevel="0" collapsed="false">
      <c r="K152" s="11"/>
    </row>
    <row r="153" customFormat="false" ht="15" hidden="false" customHeight="true" outlineLevel="0" collapsed="false">
      <c r="K153" s="11"/>
    </row>
    <row r="154" customFormat="false" ht="15" hidden="false" customHeight="true" outlineLevel="0" collapsed="false">
      <c r="K154" s="11"/>
    </row>
    <row r="155" customFormat="false" ht="15" hidden="false" customHeight="true" outlineLevel="0" collapsed="false">
      <c r="K155" s="11"/>
    </row>
    <row r="156" customFormat="false" ht="15" hidden="false" customHeight="true" outlineLevel="0" collapsed="false">
      <c r="K156" s="11"/>
    </row>
    <row r="157" customFormat="false" ht="15" hidden="false" customHeight="true" outlineLevel="0" collapsed="false">
      <c r="K157" s="11"/>
    </row>
    <row r="158" customFormat="false" ht="15" hidden="false" customHeight="true" outlineLevel="0" collapsed="false">
      <c r="K158" s="11"/>
    </row>
    <row r="159" customFormat="false" ht="15" hidden="false" customHeight="true" outlineLevel="0" collapsed="false">
      <c r="K159" s="11"/>
    </row>
    <row r="160" customFormat="false" ht="15" hidden="false" customHeight="true" outlineLevel="0" collapsed="false">
      <c r="K160" s="11"/>
    </row>
    <row r="161" customFormat="false" ht="15" hidden="false" customHeight="true" outlineLevel="0" collapsed="false">
      <c r="K161" s="11"/>
    </row>
    <row r="162" customFormat="false" ht="15" hidden="false" customHeight="true" outlineLevel="0" collapsed="false">
      <c r="K162" s="11"/>
    </row>
    <row r="163" customFormat="false" ht="15" hidden="false" customHeight="true" outlineLevel="0" collapsed="false">
      <c r="K163" s="11"/>
    </row>
    <row r="164" customFormat="false" ht="15" hidden="false" customHeight="true" outlineLevel="0" collapsed="false">
      <c r="K164" s="11"/>
    </row>
    <row r="165" customFormat="false" ht="15" hidden="false" customHeight="true" outlineLevel="0" collapsed="false">
      <c r="K165" s="11"/>
    </row>
    <row r="166" customFormat="false" ht="15" hidden="false" customHeight="true" outlineLevel="0" collapsed="false">
      <c r="K166" s="11"/>
    </row>
    <row r="167" customFormat="false" ht="15" hidden="false" customHeight="true" outlineLevel="0" collapsed="false">
      <c r="K167" s="11"/>
    </row>
    <row r="168" customFormat="false" ht="15" hidden="false" customHeight="true" outlineLevel="0" collapsed="false">
      <c r="K168" s="11"/>
    </row>
    <row r="169" customFormat="false" ht="15" hidden="false" customHeight="true" outlineLevel="0" collapsed="false">
      <c r="K169" s="11"/>
    </row>
    <row r="170" customFormat="false" ht="15" hidden="false" customHeight="true" outlineLevel="0" collapsed="false">
      <c r="K170" s="11"/>
    </row>
    <row r="171" customFormat="false" ht="15" hidden="false" customHeight="true" outlineLevel="0" collapsed="false">
      <c r="K171" s="11"/>
    </row>
    <row r="172" customFormat="false" ht="15" hidden="false" customHeight="true" outlineLevel="0" collapsed="false">
      <c r="K172" s="11"/>
    </row>
    <row r="173" customFormat="false" ht="15" hidden="false" customHeight="true" outlineLevel="0" collapsed="false">
      <c r="K173" s="11"/>
    </row>
    <row r="174" customFormat="false" ht="15" hidden="false" customHeight="true" outlineLevel="0" collapsed="false">
      <c r="K174" s="11"/>
    </row>
    <row r="175" customFormat="false" ht="15" hidden="false" customHeight="true" outlineLevel="0" collapsed="false">
      <c r="K175" s="11"/>
    </row>
    <row r="176" customFormat="false" ht="15" hidden="false" customHeight="true" outlineLevel="0" collapsed="false">
      <c r="K176" s="11"/>
    </row>
    <row r="177" customFormat="false" ht="15" hidden="false" customHeight="true" outlineLevel="0" collapsed="false">
      <c r="K177" s="11"/>
    </row>
    <row r="178" customFormat="false" ht="15" hidden="false" customHeight="true" outlineLevel="0" collapsed="false">
      <c r="K178" s="11"/>
    </row>
    <row r="179" customFormat="false" ht="15" hidden="false" customHeight="true" outlineLevel="0" collapsed="false">
      <c r="K179" s="11"/>
    </row>
    <row r="180" customFormat="false" ht="15" hidden="false" customHeight="true" outlineLevel="0" collapsed="false">
      <c r="K180" s="11"/>
    </row>
    <row r="181" customFormat="false" ht="15" hidden="false" customHeight="true" outlineLevel="0" collapsed="false">
      <c r="K181" s="11"/>
    </row>
    <row r="182" customFormat="false" ht="15" hidden="false" customHeight="true" outlineLevel="0" collapsed="false">
      <c r="K182" s="11"/>
    </row>
    <row r="183" customFormat="false" ht="15" hidden="false" customHeight="true" outlineLevel="0" collapsed="false">
      <c r="K183" s="11"/>
    </row>
    <row r="184" customFormat="false" ht="15" hidden="false" customHeight="true" outlineLevel="0" collapsed="false">
      <c r="K184" s="11"/>
    </row>
    <row r="185" customFormat="false" ht="15" hidden="false" customHeight="true" outlineLevel="0" collapsed="false">
      <c r="K185" s="11"/>
    </row>
    <row r="186" customFormat="false" ht="15" hidden="false" customHeight="true" outlineLevel="0" collapsed="false">
      <c r="K186" s="11"/>
    </row>
    <row r="187" customFormat="false" ht="15" hidden="false" customHeight="true" outlineLevel="0" collapsed="false">
      <c r="K187" s="11"/>
    </row>
    <row r="188" customFormat="false" ht="15" hidden="false" customHeight="true" outlineLevel="0" collapsed="false">
      <c r="K188" s="11"/>
    </row>
    <row r="189" customFormat="false" ht="15" hidden="false" customHeight="true" outlineLevel="0" collapsed="false">
      <c r="K189" s="11"/>
    </row>
    <row r="190" customFormat="false" ht="15" hidden="false" customHeight="true" outlineLevel="0" collapsed="false">
      <c r="K190" s="11"/>
    </row>
    <row r="191" customFormat="false" ht="15" hidden="false" customHeight="true" outlineLevel="0" collapsed="false">
      <c r="K191" s="11"/>
    </row>
    <row r="192" customFormat="false" ht="15" hidden="false" customHeight="true" outlineLevel="0" collapsed="false">
      <c r="K192" s="11"/>
    </row>
    <row r="193" customFormat="false" ht="15" hidden="false" customHeight="true" outlineLevel="0" collapsed="false">
      <c r="K193" s="11"/>
    </row>
    <row r="194" customFormat="false" ht="15" hidden="false" customHeight="true" outlineLevel="0" collapsed="false">
      <c r="K194" s="11"/>
    </row>
    <row r="195" customFormat="false" ht="15" hidden="false" customHeight="true" outlineLevel="0" collapsed="false">
      <c r="K195" s="11"/>
    </row>
    <row r="196" customFormat="false" ht="15" hidden="false" customHeight="true" outlineLevel="0" collapsed="false">
      <c r="K196" s="11"/>
    </row>
    <row r="197" customFormat="false" ht="15" hidden="false" customHeight="true" outlineLevel="0" collapsed="false">
      <c r="K197" s="11"/>
    </row>
    <row r="198" customFormat="false" ht="15" hidden="false" customHeight="true" outlineLevel="0" collapsed="false">
      <c r="K198" s="11"/>
    </row>
    <row r="199" customFormat="false" ht="15" hidden="false" customHeight="true" outlineLevel="0" collapsed="false">
      <c r="K199" s="11"/>
    </row>
    <row r="200" customFormat="false" ht="15" hidden="false" customHeight="true" outlineLevel="0" collapsed="false">
      <c r="K200" s="11"/>
    </row>
    <row r="201" customFormat="false" ht="15" hidden="false" customHeight="true" outlineLevel="0" collapsed="false">
      <c r="K201" s="11"/>
    </row>
    <row r="202" customFormat="false" ht="15" hidden="false" customHeight="true" outlineLevel="0" collapsed="false">
      <c r="K202" s="11"/>
    </row>
    <row r="203" customFormat="false" ht="15" hidden="false" customHeight="true" outlineLevel="0" collapsed="false">
      <c r="K203" s="11"/>
    </row>
    <row r="204" customFormat="false" ht="15" hidden="false" customHeight="true" outlineLevel="0" collapsed="false">
      <c r="K204" s="11"/>
    </row>
    <row r="205" customFormat="false" ht="15" hidden="false" customHeight="true" outlineLevel="0" collapsed="false">
      <c r="K205" s="11"/>
    </row>
    <row r="206" customFormat="false" ht="15" hidden="false" customHeight="true" outlineLevel="0" collapsed="false">
      <c r="K206" s="11"/>
    </row>
    <row r="207" customFormat="false" ht="15" hidden="false" customHeight="true" outlineLevel="0" collapsed="false">
      <c r="K207" s="11"/>
    </row>
    <row r="208" customFormat="false" ht="15" hidden="false" customHeight="true" outlineLevel="0" collapsed="false">
      <c r="K208" s="11"/>
    </row>
    <row r="209" customFormat="false" ht="15" hidden="false" customHeight="true" outlineLevel="0" collapsed="false">
      <c r="K209" s="11"/>
    </row>
    <row r="210" customFormat="false" ht="15" hidden="false" customHeight="true" outlineLevel="0" collapsed="false">
      <c r="K210" s="11"/>
    </row>
    <row r="211" customFormat="false" ht="15" hidden="false" customHeight="true" outlineLevel="0" collapsed="false">
      <c r="K211" s="11"/>
    </row>
    <row r="212" customFormat="false" ht="15" hidden="false" customHeight="true" outlineLevel="0" collapsed="false">
      <c r="K212" s="11"/>
    </row>
    <row r="213" customFormat="false" ht="15" hidden="false" customHeight="true" outlineLevel="0" collapsed="false">
      <c r="K213" s="11"/>
    </row>
    <row r="214" customFormat="false" ht="15" hidden="false" customHeight="true" outlineLevel="0" collapsed="false">
      <c r="K214" s="11"/>
    </row>
    <row r="215" customFormat="false" ht="15" hidden="false" customHeight="true" outlineLevel="0" collapsed="false">
      <c r="K215" s="11"/>
    </row>
    <row r="216" customFormat="false" ht="15" hidden="false" customHeight="true" outlineLevel="0" collapsed="false">
      <c r="K216" s="11"/>
    </row>
    <row r="217" customFormat="false" ht="15" hidden="false" customHeight="true" outlineLevel="0" collapsed="false">
      <c r="K217" s="11"/>
    </row>
    <row r="218" customFormat="false" ht="15" hidden="false" customHeight="true" outlineLevel="0" collapsed="false">
      <c r="K218" s="11"/>
    </row>
    <row r="219" customFormat="false" ht="15" hidden="false" customHeight="true" outlineLevel="0" collapsed="false">
      <c r="K219" s="11"/>
    </row>
    <row r="220" customFormat="false" ht="15" hidden="false" customHeight="true" outlineLevel="0" collapsed="false">
      <c r="K220" s="11"/>
    </row>
    <row r="221" customFormat="false" ht="15" hidden="false" customHeight="true" outlineLevel="0" collapsed="false">
      <c r="K221" s="11"/>
    </row>
    <row r="222" customFormat="false" ht="15" hidden="false" customHeight="true" outlineLevel="0" collapsed="false">
      <c r="K222" s="11"/>
    </row>
    <row r="223" customFormat="false" ht="15" hidden="false" customHeight="true" outlineLevel="0" collapsed="false">
      <c r="K223" s="11"/>
    </row>
    <row r="224" customFormat="false" ht="15" hidden="false" customHeight="true" outlineLevel="0" collapsed="false">
      <c r="K224" s="11"/>
    </row>
    <row r="225" customFormat="false" ht="15" hidden="false" customHeight="true" outlineLevel="0" collapsed="false">
      <c r="K225" s="11"/>
    </row>
    <row r="226" customFormat="false" ht="15" hidden="false" customHeight="true" outlineLevel="0" collapsed="false">
      <c r="K226" s="11"/>
    </row>
    <row r="227" customFormat="false" ht="15" hidden="false" customHeight="true" outlineLevel="0" collapsed="false">
      <c r="K227" s="11"/>
    </row>
    <row r="228" customFormat="false" ht="15" hidden="false" customHeight="true" outlineLevel="0" collapsed="false">
      <c r="K228" s="11"/>
    </row>
    <row r="229" customFormat="false" ht="15" hidden="false" customHeight="true" outlineLevel="0" collapsed="false">
      <c r="K229" s="11"/>
    </row>
    <row r="230" customFormat="false" ht="15" hidden="false" customHeight="true" outlineLevel="0" collapsed="false">
      <c r="K230" s="11"/>
    </row>
    <row r="231" customFormat="false" ht="15" hidden="false" customHeight="true" outlineLevel="0" collapsed="false">
      <c r="K231" s="11"/>
    </row>
    <row r="232" customFormat="false" ht="15" hidden="false" customHeight="true" outlineLevel="0" collapsed="false">
      <c r="K232" s="11"/>
    </row>
    <row r="233" customFormat="false" ht="15" hidden="false" customHeight="true" outlineLevel="0" collapsed="false">
      <c r="K233" s="11"/>
    </row>
    <row r="234" customFormat="false" ht="15" hidden="false" customHeight="true" outlineLevel="0" collapsed="false">
      <c r="K234" s="11"/>
    </row>
    <row r="235" customFormat="false" ht="15" hidden="false" customHeight="true" outlineLevel="0" collapsed="false">
      <c r="K235" s="11"/>
    </row>
    <row r="236" customFormat="false" ht="15" hidden="false" customHeight="true" outlineLevel="0" collapsed="false">
      <c r="K236" s="11"/>
    </row>
    <row r="237" customFormat="false" ht="15" hidden="false" customHeight="true" outlineLevel="0" collapsed="false">
      <c r="K237" s="11"/>
    </row>
    <row r="238" customFormat="false" ht="15" hidden="false" customHeight="true" outlineLevel="0" collapsed="false">
      <c r="K238" s="11"/>
    </row>
    <row r="239" customFormat="false" ht="15" hidden="false" customHeight="true" outlineLevel="0" collapsed="false">
      <c r="K239" s="11"/>
    </row>
    <row r="240" customFormat="false" ht="15" hidden="false" customHeight="true" outlineLevel="0" collapsed="false">
      <c r="K240" s="11"/>
    </row>
    <row r="241" customFormat="false" ht="15" hidden="false" customHeight="true" outlineLevel="0" collapsed="false">
      <c r="K241" s="11"/>
    </row>
    <row r="242" customFormat="false" ht="15" hidden="false" customHeight="true" outlineLevel="0" collapsed="false">
      <c r="K242" s="11"/>
    </row>
    <row r="243" customFormat="false" ht="15" hidden="false" customHeight="true" outlineLevel="0" collapsed="false">
      <c r="K243" s="11"/>
    </row>
    <row r="244" customFormat="false" ht="15" hidden="false" customHeight="true" outlineLevel="0" collapsed="false">
      <c r="K244" s="11"/>
    </row>
    <row r="245" customFormat="false" ht="15" hidden="false" customHeight="true" outlineLevel="0" collapsed="false">
      <c r="K245" s="11"/>
    </row>
    <row r="246" customFormat="false" ht="15" hidden="false" customHeight="true" outlineLevel="0" collapsed="false">
      <c r="K246" s="11"/>
    </row>
    <row r="247" customFormat="false" ht="15" hidden="false" customHeight="true" outlineLevel="0" collapsed="false">
      <c r="K247" s="11"/>
    </row>
    <row r="248" customFormat="false" ht="15" hidden="false" customHeight="true" outlineLevel="0" collapsed="false">
      <c r="K248" s="11"/>
    </row>
    <row r="249" customFormat="false" ht="15" hidden="false" customHeight="true" outlineLevel="0" collapsed="false">
      <c r="K249" s="11"/>
    </row>
    <row r="250" customFormat="false" ht="15" hidden="false" customHeight="true" outlineLevel="0" collapsed="false">
      <c r="K250" s="11"/>
    </row>
    <row r="251" customFormat="false" ht="15" hidden="false" customHeight="true" outlineLevel="0" collapsed="false">
      <c r="K251" s="11"/>
    </row>
    <row r="252" customFormat="false" ht="15" hidden="false" customHeight="true" outlineLevel="0" collapsed="false">
      <c r="K252" s="11"/>
    </row>
    <row r="253" customFormat="false" ht="15" hidden="false" customHeight="true" outlineLevel="0" collapsed="false">
      <c r="K253" s="11"/>
    </row>
    <row r="254" customFormat="false" ht="15" hidden="false" customHeight="true" outlineLevel="0" collapsed="false">
      <c r="K254" s="11"/>
    </row>
    <row r="255" customFormat="false" ht="15" hidden="false" customHeight="true" outlineLevel="0" collapsed="false">
      <c r="K255" s="11"/>
    </row>
    <row r="256" customFormat="false" ht="15" hidden="false" customHeight="true" outlineLevel="0" collapsed="false">
      <c r="K256" s="11"/>
    </row>
    <row r="257" customFormat="false" ht="15" hidden="false" customHeight="true" outlineLevel="0" collapsed="false">
      <c r="K257" s="11"/>
    </row>
    <row r="258" customFormat="false" ht="15" hidden="false" customHeight="true" outlineLevel="0" collapsed="false">
      <c r="K258" s="11"/>
    </row>
    <row r="259" customFormat="false" ht="15" hidden="false" customHeight="true" outlineLevel="0" collapsed="false">
      <c r="K259" s="11"/>
    </row>
    <row r="260" customFormat="false" ht="15" hidden="false" customHeight="true" outlineLevel="0" collapsed="false">
      <c r="K260" s="11"/>
    </row>
    <row r="261" customFormat="false" ht="15" hidden="false" customHeight="true" outlineLevel="0" collapsed="false">
      <c r="K261" s="11"/>
    </row>
    <row r="262" customFormat="false" ht="15" hidden="false" customHeight="true" outlineLevel="0" collapsed="false">
      <c r="K262" s="11"/>
    </row>
    <row r="263" customFormat="false" ht="15" hidden="false" customHeight="true" outlineLevel="0" collapsed="false">
      <c r="K263" s="11"/>
    </row>
    <row r="264" customFormat="false" ht="15" hidden="false" customHeight="true" outlineLevel="0" collapsed="false">
      <c r="K264" s="11"/>
    </row>
    <row r="265" customFormat="false" ht="15" hidden="false" customHeight="true" outlineLevel="0" collapsed="false">
      <c r="K265" s="11"/>
    </row>
    <row r="266" customFormat="false" ht="15" hidden="false" customHeight="true" outlineLevel="0" collapsed="false">
      <c r="K266" s="11"/>
    </row>
    <row r="267" customFormat="false" ht="15" hidden="false" customHeight="true" outlineLevel="0" collapsed="false">
      <c r="K267" s="11"/>
    </row>
    <row r="268" customFormat="false" ht="15" hidden="false" customHeight="true" outlineLevel="0" collapsed="false">
      <c r="K268" s="11"/>
    </row>
    <row r="269" customFormat="false" ht="15" hidden="false" customHeight="true" outlineLevel="0" collapsed="false">
      <c r="K269" s="11"/>
    </row>
    <row r="270" customFormat="false" ht="15" hidden="false" customHeight="true" outlineLevel="0" collapsed="false">
      <c r="K270" s="11"/>
    </row>
    <row r="271" customFormat="false" ht="15" hidden="false" customHeight="true" outlineLevel="0" collapsed="false">
      <c r="K271" s="11"/>
    </row>
    <row r="272" customFormat="false" ht="15" hidden="false" customHeight="true" outlineLevel="0" collapsed="false">
      <c r="K272" s="11"/>
    </row>
    <row r="273" customFormat="false" ht="15" hidden="false" customHeight="true" outlineLevel="0" collapsed="false">
      <c r="K273" s="11"/>
    </row>
    <row r="274" customFormat="false" ht="15" hidden="false" customHeight="true" outlineLevel="0" collapsed="false">
      <c r="K274" s="11"/>
    </row>
    <row r="275" customFormat="false" ht="15" hidden="false" customHeight="true" outlineLevel="0" collapsed="false">
      <c r="K275" s="11"/>
    </row>
    <row r="276" customFormat="false" ht="15" hidden="false" customHeight="true" outlineLevel="0" collapsed="false">
      <c r="K276" s="11"/>
    </row>
    <row r="277" customFormat="false" ht="15" hidden="false" customHeight="true" outlineLevel="0" collapsed="false">
      <c r="K277" s="11"/>
    </row>
    <row r="278" customFormat="false" ht="15" hidden="false" customHeight="true" outlineLevel="0" collapsed="false">
      <c r="K278" s="11"/>
    </row>
    <row r="279" customFormat="false" ht="15" hidden="false" customHeight="true" outlineLevel="0" collapsed="false">
      <c r="K279" s="11"/>
    </row>
    <row r="280" customFormat="false" ht="15" hidden="false" customHeight="true" outlineLevel="0" collapsed="false">
      <c r="K280" s="11"/>
    </row>
    <row r="281" customFormat="false" ht="15" hidden="false" customHeight="true" outlineLevel="0" collapsed="false">
      <c r="K281" s="11"/>
    </row>
    <row r="282" customFormat="false" ht="15" hidden="false" customHeight="true" outlineLevel="0" collapsed="false">
      <c r="K282" s="11"/>
    </row>
    <row r="283" customFormat="false" ht="15" hidden="false" customHeight="true" outlineLevel="0" collapsed="false">
      <c r="K283" s="11"/>
    </row>
    <row r="284" customFormat="false" ht="15" hidden="false" customHeight="true" outlineLevel="0" collapsed="false">
      <c r="K284" s="11"/>
    </row>
    <row r="285" customFormat="false" ht="15" hidden="false" customHeight="true" outlineLevel="0" collapsed="false">
      <c r="K285" s="11"/>
    </row>
    <row r="286" customFormat="false" ht="15" hidden="false" customHeight="true" outlineLevel="0" collapsed="false">
      <c r="K286" s="11"/>
    </row>
    <row r="287" customFormat="false" ht="15" hidden="false" customHeight="true" outlineLevel="0" collapsed="false">
      <c r="K287" s="11"/>
    </row>
    <row r="288" customFormat="false" ht="15" hidden="false" customHeight="true" outlineLevel="0" collapsed="false">
      <c r="K288" s="11"/>
    </row>
    <row r="289" customFormat="false" ht="15" hidden="false" customHeight="true" outlineLevel="0" collapsed="false">
      <c r="K289" s="11"/>
    </row>
    <row r="290" customFormat="false" ht="15" hidden="false" customHeight="true" outlineLevel="0" collapsed="false">
      <c r="K290" s="11"/>
    </row>
    <row r="291" customFormat="false" ht="15" hidden="false" customHeight="true" outlineLevel="0" collapsed="false">
      <c r="K291" s="11"/>
    </row>
    <row r="292" customFormat="false" ht="15" hidden="false" customHeight="true" outlineLevel="0" collapsed="false">
      <c r="K292" s="11"/>
    </row>
    <row r="293" customFormat="false" ht="15" hidden="false" customHeight="true" outlineLevel="0" collapsed="false">
      <c r="K293" s="11"/>
    </row>
    <row r="294" customFormat="false" ht="15" hidden="false" customHeight="true" outlineLevel="0" collapsed="false">
      <c r="K294" s="11"/>
    </row>
    <row r="295" customFormat="false" ht="15" hidden="false" customHeight="true" outlineLevel="0" collapsed="false">
      <c r="K295" s="11"/>
    </row>
    <row r="296" customFormat="false" ht="15" hidden="false" customHeight="true" outlineLevel="0" collapsed="false">
      <c r="K296" s="11"/>
    </row>
    <row r="297" customFormat="false" ht="15" hidden="false" customHeight="true" outlineLevel="0" collapsed="false">
      <c r="K297" s="11"/>
    </row>
    <row r="298" customFormat="false" ht="15" hidden="false" customHeight="true" outlineLevel="0" collapsed="false">
      <c r="K298" s="11"/>
    </row>
    <row r="299" customFormat="false" ht="15" hidden="false" customHeight="true" outlineLevel="0" collapsed="false">
      <c r="K299" s="11"/>
    </row>
    <row r="300" customFormat="false" ht="15" hidden="false" customHeight="true" outlineLevel="0" collapsed="false">
      <c r="K300" s="11"/>
    </row>
  </sheetData>
  <autoFilter ref="A1:O300"/>
  <conditionalFormatting sqref="A2:O300">
    <cfRule type="expression" priority="2" aboveAverage="0" equalAverage="0" bottom="0" percent="0" rank="0" text="" dxfId="7">
      <formula>$J2="Disponível"</formula>
    </cfRule>
    <cfRule type="expression" priority="3" aboveAverage="0" equalAverage="0" bottom="0" percent="0" rank="0" text="" dxfId="8">
      <formula>$J2="Alugado"</formula>
    </cfRule>
    <cfRule type="expression" priority="4" aboveAverage="0" equalAverage="0" bottom="0" percent="0" rank="0" text="" dxfId="9">
      <formula>$J2="Em manutenção"</formula>
    </cfRule>
    <cfRule type="expression" priority="5" aboveAverage="0" equalAverage="0" bottom="0" percent="0" rank="0" text="" dxfId="10">
      <formula>$J2="Inativo"</formula>
    </cfRule>
  </conditionalFormatting>
  <dataValidations count="5">
    <dataValidation allowBlank="true" error="Escolha Fixo, Opcional ou Sem topo" errorStyle="stop" operator="between" showDropDown="false" showErrorMessage="true" showInputMessage="false" sqref="F2:F300" type="list">
      <formula1>Listas!$B$2:$B$4</formula1>
      <formula2>0</formula2>
    </dataValidation>
    <dataValidation allowBlank="true" error="Sim ou Não" errorStyle="stop" operator="between" showDropDown="false" showErrorMessage="true" showInputMessage="false" sqref="H2:H300" type="list">
      <formula1>Listas!$C$2:$C$3</formula1>
      <formula2>0</formula2>
    </dataValidation>
    <dataValidation allowBlank="true" error="Escolha da lista" errorStyle="stop" operator="between" showDropDown="false" showErrorMessage="true" showInputMessage="false" sqref="I2:I300" type="list">
      <formula1>Listas!$D$2:$D$6</formula1>
      <formula2>0</formula2>
    </dataValidation>
    <dataValidation allowBlank="true" error="Escolha um status da lista" errorStyle="stop" operator="between" showDropDown="false" showErrorMessage="true" showInputMessage="false" sqref="J2:J300" type="list">
      <formula1>Listas!$A$2:$A$5</formula1>
      <formula2>0</formula2>
    </dataValidation>
    <dataValidation allowBlank="true" errorStyle="stop" operator="between" showDropDown="false" showErrorMessage="false" showInputMessage="false" sqref="O2:O300" type="list">
      <formula1>Listas!$C$2:$C$3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6"/>
    <col collapsed="false" customWidth="true" hidden="false" outlineLevel="0" max="4" min="4" style="1" width="10"/>
    <col collapsed="false" customWidth="true" hidden="false" outlineLevel="0" max="5" min="5" style="1" width="38"/>
    <col collapsed="false" customWidth="true" hidden="false" outlineLevel="0" max="6" min="6" style="1" width="14"/>
    <col collapsed="false" customWidth="true" hidden="false" outlineLevel="0" max="9" min="7" style="1" width="16"/>
    <col collapsed="false" customWidth="true" hidden="false" outlineLevel="0" max="10" min="10" style="1" width="24"/>
    <col collapsed="false" customWidth="true" hidden="false" outlineLevel="0" max="11" min="11" style="1" width="20"/>
    <col collapsed="false" customWidth="true" hidden="false" outlineLevel="0" max="12" min="12" style="1" width="16"/>
    <col collapsed="false" customWidth="true" hidden="false" outlineLevel="0" max="13" min="13" style="1" width="18"/>
    <col collapsed="false" customWidth="true" hidden="false" outlineLevel="0" max="14" min="14" style="0" width="14"/>
  </cols>
  <sheetData>
    <row r="1" customFormat="false" ht="33.75" hidden="false" customHeight="true" outlineLevel="0" collapsed="false">
      <c r="A1" s="9" t="s">
        <v>54</v>
      </c>
      <c r="B1" s="9" t="s">
        <v>28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  <c r="H1" s="9" t="s">
        <v>60</v>
      </c>
      <c r="I1" s="9" t="s">
        <v>61</v>
      </c>
      <c r="J1" s="9" t="s">
        <v>62</v>
      </c>
      <c r="K1" s="9" t="s">
        <v>63</v>
      </c>
      <c r="L1" s="9" t="s">
        <v>64</v>
      </c>
      <c r="M1" s="9" t="s">
        <v>65</v>
      </c>
      <c r="N1" s="9" t="s">
        <v>66</v>
      </c>
    </row>
    <row r="2" customFormat="false" ht="15" hidden="false" customHeight="true" outlineLevel="0" collapsed="false">
      <c r="A2" s="7" t="s">
        <v>67</v>
      </c>
      <c r="B2" s="7" t="s">
        <v>43</v>
      </c>
      <c r="C2" s="7"/>
      <c r="D2" s="7" t="n">
        <v>3</v>
      </c>
      <c r="E2" s="5" t="str">
        <f aca="false">IF(B2="","",IFERROR(INDEX(Bolos!$B:$B,MATCH(B2,Bolos!$A:$A,0))&amp;IF(C2="",""," — "&amp;C2)&amp;" — "&amp;D2&amp;" andares",""))</f>
        <v>Safari — 3 andares</v>
      </c>
      <c r="F2" s="12" t="n">
        <v>150</v>
      </c>
      <c r="G2" s="5" t="str">
        <f aca="false">IF(B2="","",IFERROR(INDEX(Bolos!$J:$J,MATCH(B2,Bolos!$A:$A,0)),"Código não encontrado"))</f>
        <v>Disponível</v>
      </c>
      <c r="H2" s="5" t="str">
        <f aca="false">IF(B2="","",IF(G2="Disponível","Sim","Não"))</f>
        <v>Sim</v>
      </c>
      <c r="I2" s="5" t="str">
        <f aca="false">IF(OR(B2="",D2=""),"",IFERROR(IF(AND(D2&gt;=INDEX(Bolos!$D:$D,MATCH(B2,Bolos!$A:$A,0)),D2&lt;=INDEX(Bolos!$E:$E,MATCH(B2,Bolos!$A:$A,0))),"OK","Fora do limite"),""))</f>
        <v>OK</v>
      </c>
      <c r="K2" s="12"/>
      <c r="L2" s="13" t="str">
        <f aca="false">IF(K2="","",ROUND(K2*(1-'Como usar'!$B$26),2))</f>
        <v/>
      </c>
      <c r="M2" s="5" t="str">
        <f aca="false">IF(B2="","",IF(AND(G2="Inativo",IFERROR(INDEX(Bolos!$O:$O,MATCH(B2,Bolos!$A:$A,0)),"")="Sim",K2&lt;&gt;""),"Sim","Não"))</f>
        <v>Não</v>
      </c>
      <c r="N2" s="12"/>
    </row>
    <row r="3" customFormat="false" ht="15" hidden="false" customHeight="true" outlineLevel="0" collapsed="false">
      <c r="A3" s="7" t="s">
        <v>68</v>
      </c>
      <c r="B3" s="7" t="s">
        <v>43</v>
      </c>
      <c r="C3" s="7"/>
      <c r="D3" s="7" t="n">
        <v>4</v>
      </c>
      <c r="E3" s="5" t="str">
        <f aca="false">IF(B3="","",IFERROR(INDEX(Bolos!$B:$B,MATCH(B3,Bolos!$A:$A,0))&amp;IF(C3="",""," — "&amp;C3)&amp;" — "&amp;D3&amp;" andares",""))</f>
        <v>Safari — 4 andares</v>
      </c>
      <c r="F3" s="12" t="n">
        <v>180</v>
      </c>
      <c r="G3" s="5" t="str">
        <f aca="false">IF(B3="","",IFERROR(INDEX(Bolos!$J:$J,MATCH(B3,Bolos!$A:$A,0)),"Código não encontrado"))</f>
        <v>Disponível</v>
      </c>
      <c r="H3" s="5" t="str">
        <f aca="false">IF(B3="","",IF(G3="Disponível","Sim","Não"))</f>
        <v>Sim</v>
      </c>
      <c r="I3" s="5" t="str">
        <f aca="false">IF(OR(B3="",D3=""),"",IFERROR(IF(AND(D3&gt;=INDEX(Bolos!$D:$D,MATCH(B3,Bolos!$A:$A,0)),D3&lt;=INDEX(Bolos!$E:$E,MATCH(B3,Bolos!$A:$A,0))),"OK","Fora do limite"),""))</f>
        <v>OK</v>
      </c>
      <c r="K3" s="12"/>
      <c r="L3" s="13" t="str">
        <f aca="false">IF(K3="","",ROUND(K3*(1-'Como usar'!$B$26),2))</f>
        <v/>
      </c>
      <c r="M3" s="5" t="str">
        <f aca="false">IF(B3="","",IF(AND(G3="Inativo",IFERROR(INDEX(Bolos!$O:$O,MATCH(B3,Bolos!$A:$A,0)),"")="Sim",K3&lt;&gt;""),"Sim","Não"))</f>
        <v>Não</v>
      </c>
      <c r="N3" s="12"/>
    </row>
    <row r="4" customFormat="false" ht="15" hidden="false" customHeight="true" outlineLevel="0" collapsed="false">
      <c r="A4" s="7" t="s">
        <v>69</v>
      </c>
      <c r="B4" s="7" t="s">
        <v>43</v>
      </c>
      <c r="C4" s="7"/>
      <c r="D4" s="7" t="n">
        <v>5</v>
      </c>
      <c r="E4" s="5" t="str">
        <f aca="false">IF(B4="","",IFERROR(INDEX(Bolos!$B:$B,MATCH(B4,Bolos!$A:$A,0))&amp;IF(C4="",""," — "&amp;C4)&amp;" — "&amp;D4&amp;" andares",""))</f>
        <v>Safari — 5 andares</v>
      </c>
      <c r="F4" s="12" t="n">
        <v>210</v>
      </c>
      <c r="G4" s="5" t="str">
        <f aca="false">IF(B4="","",IFERROR(INDEX(Bolos!$J:$J,MATCH(B4,Bolos!$A:$A,0)),"Código não encontrado"))</f>
        <v>Disponível</v>
      </c>
      <c r="H4" s="5" t="str">
        <f aca="false">IF(B4="","",IF(G4="Disponível","Sim","Não"))</f>
        <v>Sim</v>
      </c>
      <c r="I4" s="5" t="str">
        <f aca="false">IF(OR(B4="",D4=""),"",IFERROR(IF(AND(D4&gt;=INDEX(Bolos!$D:$D,MATCH(B4,Bolos!$A:$A,0)),D4&lt;=INDEX(Bolos!$E:$E,MATCH(B4,Bolos!$A:$A,0))),"OK","Fora do limite"),""))</f>
        <v>OK</v>
      </c>
      <c r="K4" s="12"/>
      <c r="L4" s="13" t="str">
        <f aca="false">IF(K4="","",ROUND(K4*(1-'Como usar'!$B$26),2))</f>
        <v/>
      </c>
      <c r="M4" s="5" t="str">
        <f aca="false">IF(B4="","",IF(AND(G4="Inativo",IFERROR(INDEX(Bolos!$O:$O,MATCH(B4,Bolos!$A:$A,0)),"")="Sim",K4&lt;&gt;""),"Sim","Não"))</f>
        <v>Não</v>
      </c>
      <c r="N4" s="12"/>
    </row>
    <row r="5" customFormat="false" ht="15" hidden="false" customHeight="true" outlineLevel="0" collapsed="false">
      <c r="A5" s="7" t="s">
        <v>70</v>
      </c>
      <c r="B5" s="7" t="s">
        <v>48</v>
      </c>
      <c r="C5" s="7" t="s">
        <v>71</v>
      </c>
      <c r="D5" s="7" t="n">
        <v>3</v>
      </c>
      <c r="E5" s="5" t="str">
        <f aca="false">IF(B5="","",IFERROR(INDEX(Bolos!$B:$B,MATCH(B5,Bolos!$A:$A,0))&amp;IF(C5="",""," — "&amp;C5)&amp;" — "&amp;D5&amp;" andares",""))</f>
        <v>Jardim encantado — Flores — 3 andares</v>
      </c>
      <c r="F5" s="12" t="n">
        <v>140</v>
      </c>
      <c r="G5" s="5" t="str">
        <f aca="false">IF(B5="","",IFERROR(INDEX(Bolos!$J:$J,MATCH(B5,Bolos!$A:$A,0)),"Código não encontrado"))</f>
        <v>Em manutenção</v>
      </c>
      <c r="H5" s="5" t="str">
        <f aca="false">IF(B5="","",IF(G5="Disponível","Sim","Não"))</f>
        <v>Não</v>
      </c>
      <c r="I5" s="5" t="str">
        <f aca="false">IF(OR(B5="",D5=""),"",IFERROR(IF(AND(D5&gt;=INDEX(Bolos!$D:$D,MATCH(B5,Bolos!$A:$A,0)),D5&lt;=INDEX(Bolos!$E:$E,MATCH(B5,Bolos!$A:$A,0))),"OK","Fora do limite"),""))</f>
        <v>OK</v>
      </c>
      <c r="K5" s="12"/>
      <c r="L5" s="13" t="str">
        <f aca="false">IF(K5="","",ROUND(K5*(1-'Como usar'!$B$26),2))</f>
        <v/>
      </c>
      <c r="M5" s="5" t="str">
        <f aca="false">IF(B5="","",IF(AND(G5="Inativo",IFERROR(INDEX(Bolos!$O:$O,MATCH(B5,Bolos!$A:$A,0)),"")="Sim",K5&lt;&gt;""),"Sim","Não"))</f>
        <v>Não</v>
      </c>
      <c r="N5" s="12"/>
    </row>
    <row r="6" customFormat="false" ht="15" hidden="false" customHeight="true" outlineLevel="0" collapsed="false">
      <c r="A6" s="7" t="s">
        <v>72</v>
      </c>
      <c r="B6" s="7" t="s">
        <v>48</v>
      </c>
      <c r="C6" s="7" t="s">
        <v>73</v>
      </c>
      <c r="D6" s="7" t="n">
        <v>3</v>
      </c>
      <c r="E6" s="5" t="str">
        <f aca="false">IF(B6="","",IFERROR(INDEX(Bolos!$B:$B,MATCH(B6,Bolos!$A:$A,0))&amp;IF(C6="",""," — "&amp;C6)&amp;" — "&amp;D6&amp;" andares",""))</f>
        <v>Jardim encantado — Borboletas — 3 andares</v>
      </c>
      <c r="F6" s="12" t="n">
        <v>140</v>
      </c>
      <c r="G6" s="5" t="str">
        <f aca="false">IF(B6="","",IFERROR(INDEX(Bolos!$J:$J,MATCH(B6,Bolos!$A:$A,0)),"Código não encontrado"))</f>
        <v>Em manutenção</v>
      </c>
      <c r="H6" s="5" t="str">
        <f aca="false">IF(B6="","",IF(G6="Disponível","Sim","Não"))</f>
        <v>Não</v>
      </c>
      <c r="I6" s="5" t="str">
        <f aca="false">IF(OR(B6="",D6=""),"",IFERROR(IF(AND(D6&gt;=INDEX(Bolos!$D:$D,MATCH(B6,Bolos!$A:$A,0)),D6&lt;=INDEX(Bolos!$E:$E,MATCH(B6,Bolos!$A:$A,0))),"OK","Fora do limite"),""))</f>
        <v>OK</v>
      </c>
      <c r="K6" s="12"/>
      <c r="L6" s="13" t="str">
        <f aca="false">IF(K6="","",ROUND(K6*(1-'Como usar'!$B$26),2))</f>
        <v/>
      </c>
      <c r="M6" s="5" t="str">
        <f aca="false">IF(B6="","",IF(AND(G6="Inativo",IFERROR(INDEX(Bolos!$O:$O,MATCH(B6,Bolos!$A:$A,0)),"")="Sim",K6&lt;&gt;""),"Sim","Não"))</f>
        <v>Não</v>
      </c>
      <c r="N6" s="12"/>
    </row>
    <row r="7" customFormat="false" ht="15" hidden="false" customHeight="true" outlineLevel="0" collapsed="false">
      <c r="A7" s="7" t="s">
        <v>74</v>
      </c>
      <c r="B7" s="7" t="s">
        <v>48</v>
      </c>
      <c r="C7" s="7" t="s">
        <v>73</v>
      </c>
      <c r="D7" s="7" t="n">
        <v>4</v>
      </c>
      <c r="E7" s="5" t="str">
        <f aca="false">IF(B7="","",IFERROR(INDEX(Bolos!$B:$B,MATCH(B7,Bolos!$A:$A,0))&amp;IF(C7="",""," — "&amp;C7)&amp;" — "&amp;D7&amp;" andares",""))</f>
        <v>Jardim encantado — Borboletas — 4 andares</v>
      </c>
      <c r="F7" s="12" t="n">
        <v>170</v>
      </c>
      <c r="G7" s="5" t="str">
        <f aca="false">IF(B7="","",IFERROR(INDEX(Bolos!$J:$J,MATCH(B7,Bolos!$A:$A,0)),"Código não encontrado"))</f>
        <v>Em manutenção</v>
      </c>
      <c r="H7" s="5" t="str">
        <f aca="false">IF(B7="","",IF(G7="Disponível","Sim","Não"))</f>
        <v>Não</v>
      </c>
      <c r="I7" s="5" t="str">
        <f aca="false">IF(OR(B7="",D7=""),"",IFERROR(IF(AND(D7&gt;=INDEX(Bolos!$D:$D,MATCH(B7,Bolos!$A:$A,0)),D7&lt;=INDEX(Bolos!$E:$E,MATCH(B7,Bolos!$A:$A,0))),"OK","Fora do limite"),""))</f>
        <v>OK</v>
      </c>
      <c r="K7" s="12"/>
      <c r="L7" s="13" t="str">
        <f aca="false">IF(K7="","",ROUND(K7*(1-'Como usar'!$B$26),2))</f>
        <v/>
      </c>
      <c r="M7" s="5" t="str">
        <f aca="false">IF(B7="","",IF(AND(G7="Inativo",IFERROR(INDEX(Bolos!$O:$O,MATCH(B7,Bolos!$A:$A,0)),"")="Sim",K7&lt;&gt;""),"Sim","Não"))</f>
        <v>Não</v>
      </c>
      <c r="N7" s="12"/>
    </row>
    <row r="8" customFormat="false" ht="15" hidden="false" customHeight="true" outlineLevel="0" collapsed="false">
      <c r="E8" s="5" t="str">
        <f aca="false">IF(B8="","",IFERROR(INDEX(Bolos!$B:$B,MATCH(B8,Bolos!$A:$A,0))&amp;IF(C8="",""," — "&amp;C8)&amp;" — "&amp;D8&amp;" andares",""))</f>
        <v/>
      </c>
      <c r="F8" s="14"/>
      <c r="G8" s="5" t="str">
        <f aca="false">IF(B8="","",IFERROR(INDEX(Bolos!$J:$J,MATCH(B8,Bolos!$A:$A,0)),"Código não encontrado"))</f>
        <v/>
      </c>
      <c r="H8" s="5" t="str">
        <f aca="false">IF(B8="","",IF(G8="Disponível","Sim","Não"))</f>
        <v/>
      </c>
      <c r="I8" s="5" t="str">
        <f aca="false">IF(OR(B8="",D8=""),"",IFERROR(IF(AND(D8&gt;=INDEX(Bolos!$D:$D,MATCH(B8,Bolos!$A:$A,0)),D8&lt;=INDEX(Bolos!$E:$E,MATCH(B8,Bolos!$A:$A,0))),"OK","Fora do limite"),""))</f>
        <v/>
      </c>
      <c r="K8" s="14"/>
      <c r="L8" s="13" t="str">
        <f aca="false">IF(K8="","",ROUND(K8*(1-'Como usar'!$B$26),2))</f>
        <v/>
      </c>
      <c r="M8" s="5" t="str">
        <f aca="false">IF(B8="","",IF(AND(G8="Inativo",IFERROR(INDEX(Bolos!$O:$O,MATCH(B8,Bolos!$A:$A,0)),"")="Sim",K8&lt;&gt;""),"Sim","Não"))</f>
        <v/>
      </c>
      <c r="N8" s="14"/>
    </row>
    <row r="9" customFormat="false" ht="15" hidden="false" customHeight="true" outlineLevel="0" collapsed="false">
      <c r="E9" s="5" t="str">
        <f aca="false">IF(B9="","",IFERROR(INDEX(Bolos!$B:$B,MATCH(B9,Bolos!$A:$A,0))&amp;IF(C9="",""," — "&amp;C9)&amp;" — "&amp;D9&amp;" andares",""))</f>
        <v/>
      </c>
      <c r="F9" s="14"/>
      <c r="G9" s="5" t="str">
        <f aca="false">IF(B9="","",IFERROR(INDEX(Bolos!$J:$J,MATCH(B9,Bolos!$A:$A,0)),"Código não encontrado"))</f>
        <v/>
      </c>
      <c r="H9" s="5" t="str">
        <f aca="false">IF(B9="","",IF(G9="Disponível","Sim","Não"))</f>
        <v/>
      </c>
      <c r="I9" s="5" t="str">
        <f aca="false">IF(OR(B9="",D9=""),"",IFERROR(IF(AND(D9&gt;=INDEX(Bolos!$D:$D,MATCH(B9,Bolos!$A:$A,0)),D9&lt;=INDEX(Bolos!$E:$E,MATCH(B9,Bolos!$A:$A,0))),"OK","Fora do limite"),""))</f>
        <v/>
      </c>
      <c r="K9" s="14"/>
      <c r="L9" s="13" t="str">
        <f aca="false">IF(K9="","",ROUND(K9*(1-'Como usar'!$B$26),2))</f>
        <v/>
      </c>
      <c r="M9" s="5" t="str">
        <f aca="false">IF(B9="","",IF(AND(G9="Inativo",IFERROR(INDEX(Bolos!$O:$O,MATCH(B9,Bolos!$A:$A,0)),"")="Sim",K9&lt;&gt;""),"Sim","Não"))</f>
        <v/>
      </c>
      <c r="N9" s="14"/>
    </row>
    <row r="10" customFormat="false" ht="15" hidden="false" customHeight="true" outlineLevel="0" collapsed="false">
      <c r="E10" s="5" t="str">
        <f aca="false">IF(B10="","",IFERROR(INDEX(Bolos!$B:$B,MATCH(B10,Bolos!$A:$A,0))&amp;IF(C10="",""," — "&amp;C10)&amp;" — "&amp;D10&amp;" andares",""))</f>
        <v/>
      </c>
      <c r="F10" s="14"/>
      <c r="G10" s="5" t="str">
        <f aca="false">IF(B10="","",IFERROR(INDEX(Bolos!$J:$J,MATCH(B10,Bolos!$A:$A,0)),"Código não encontrado"))</f>
        <v/>
      </c>
      <c r="H10" s="5" t="str">
        <f aca="false">IF(B10="","",IF(G10="Disponível","Sim","Não"))</f>
        <v/>
      </c>
      <c r="I10" s="5" t="str">
        <f aca="false">IF(OR(B10="",D10=""),"",IFERROR(IF(AND(D10&gt;=INDEX(Bolos!$D:$D,MATCH(B10,Bolos!$A:$A,0)),D10&lt;=INDEX(Bolos!$E:$E,MATCH(B10,Bolos!$A:$A,0))),"OK","Fora do limite"),""))</f>
        <v/>
      </c>
      <c r="K10" s="14"/>
      <c r="L10" s="13" t="str">
        <f aca="false">IF(K10="","",ROUND(K10*(1-'Como usar'!$B$26),2))</f>
        <v/>
      </c>
      <c r="M10" s="5" t="str">
        <f aca="false">IF(B10="","",IF(AND(G10="Inativo",IFERROR(INDEX(Bolos!$O:$O,MATCH(B10,Bolos!$A:$A,0)),"")="Sim",K10&lt;&gt;""),"Sim","Não"))</f>
        <v/>
      </c>
      <c r="N10" s="14"/>
    </row>
    <row r="11" customFormat="false" ht="15" hidden="false" customHeight="true" outlineLevel="0" collapsed="false">
      <c r="E11" s="5" t="str">
        <f aca="false">IF(B11="","",IFERROR(INDEX(Bolos!$B:$B,MATCH(B11,Bolos!$A:$A,0))&amp;IF(C11="",""," — "&amp;C11)&amp;" — "&amp;D11&amp;" andares",""))</f>
        <v/>
      </c>
      <c r="F11" s="14"/>
      <c r="G11" s="5" t="str">
        <f aca="false">IF(B11="","",IFERROR(INDEX(Bolos!$J:$J,MATCH(B11,Bolos!$A:$A,0)),"Código não encontrado"))</f>
        <v/>
      </c>
      <c r="H11" s="5" t="str">
        <f aca="false">IF(B11="","",IF(G11="Disponível","Sim","Não"))</f>
        <v/>
      </c>
      <c r="I11" s="5" t="str">
        <f aca="false">IF(OR(B11="",D11=""),"",IFERROR(IF(AND(D11&gt;=INDEX(Bolos!$D:$D,MATCH(B11,Bolos!$A:$A,0)),D11&lt;=INDEX(Bolos!$E:$E,MATCH(B11,Bolos!$A:$A,0))),"OK","Fora do limite"),""))</f>
        <v/>
      </c>
      <c r="K11" s="14"/>
      <c r="L11" s="13" t="str">
        <f aca="false">IF(K11="","",ROUND(K11*(1-'Como usar'!$B$26),2))</f>
        <v/>
      </c>
      <c r="M11" s="5" t="str">
        <f aca="false">IF(B11="","",IF(AND(G11="Inativo",IFERROR(INDEX(Bolos!$O:$O,MATCH(B11,Bolos!$A:$A,0)),"")="Sim",K11&lt;&gt;""),"Sim","Não"))</f>
        <v/>
      </c>
      <c r="N11" s="14"/>
    </row>
    <row r="12" customFormat="false" ht="15" hidden="false" customHeight="true" outlineLevel="0" collapsed="false">
      <c r="E12" s="5" t="str">
        <f aca="false">IF(B12="","",IFERROR(INDEX(Bolos!$B:$B,MATCH(B12,Bolos!$A:$A,0))&amp;IF(C12="",""," — "&amp;C12)&amp;" — "&amp;D12&amp;" andares",""))</f>
        <v/>
      </c>
      <c r="F12" s="14"/>
      <c r="G12" s="5" t="str">
        <f aca="false">IF(B12="","",IFERROR(INDEX(Bolos!$J:$J,MATCH(B12,Bolos!$A:$A,0)),"Código não encontrado"))</f>
        <v/>
      </c>
      <c r="H12" s="5" t="str">
        <f aca="false">IF(B12="","",IF(G12="Disponível","Sim","Não"))</f>
        <v/>
      </c>
      <c r="I12" s="5" t="str">
        <f aca="false">IF(OR(B12="",D12=""),"",IFERROR(IF(AND(D12&gt;=INDEX(Bolos!$D:$D,MATCH(B12,Bolos!$A:$A,0)),D12&lt;=INDEX(Bolos!$E:$E,MATCH(B12,Bolos!$A:$A,0))),"OK","Fora do limite"),""))</f>
        <v/>
      </c>
      <c r="K12" s="14"/>
      <c r="L12" s="13" t="str">
        <f aca="false">IF(K12="","",ROUND(K12*(1-'Como usar'!$B$26),2))</f>
        <v/>
      </c>
      <c r="M12" s="5" t="str">
        <f aca="false">IF(B12="","",IF(AND(G12="Inativo",IFERROR(INDEX(Bolos!$O:$O,MATCH(B12,Bolos!$A:$A,0)),"")="Sim",K12&lt;&gt;""),"Sim","Não"))</f>
        <v/>
      </c>
      <c r="N12" s="14"/>
    </row>
    <row r="13" customFormat="false" ht="15" hidden="false" customHeight="true" outlineLevel="0" collapsed="false">
      <c r="E13" s="5" t="str">
        <f aca="false">IF(B13="","",IFERROR(INDEX(Bolos!$B:$B,MATCH(B13,Bolos!$A:$A,0))&amp;IF(C13="",""," — "&amp;C13)&amp;" — "&amp;D13&amp;" andares",""))</f>
        <v/>
      </c>
      <c r="F13" s="14"/>
      <c r="G13" s="5" t="str">
        <f aca="false">IF(B13="","",IFERROR(INDEX(Bolos!$J:$J,MATCH(B13,Bolos!$A:$A,0)),"Código não encontrado"))</f>
        <v/>
      </c>
      <c r="H13" s="5" t="str">
        <f aca="false">IF(B13="","",IF(G13="Disponível","Sim","Não"))</f>
        <v/>
      </c>
      <c r="I13" s="5" t="str">
        <f aca="false">IF(OR(B13="",D13=""),"",IFERROR(IF(AND(D13&gt;=INDEX(Bolos!$D:$D,MATCH(B13,Bolos!$A:$A,0)),D13&lt;=INDEX(Bolos!$E:$E,MATCH(B13,Bolos!$A:$A,0))),"OK","Fora do limite"),""))</f>
        <v/>
      </c>
      <c r="K13" s="14"/>
      <c r="L13" s="13" t="str">
        <f aca="false">IF(K13="","",ROUND(K13*(1-'Como usar'!$B$26),2))</f>
        <v/>
      </c>
      <c r="M13" s="5" t="str">
        <f aca="false">IF(B13="","",IF(AND(G13="Inativo",IFERROR(INDEX(Bolos!$O:$O,MATCH(B13,Bolos!$A:$A,0)),"")="Sim",K13&lt;&gt;""),"Sim","Não"))</f>
        <v/>
      </c>
      <c r="N13" s="14"/>
    </row>
    <row r="14" customFormat="false" ht="15" hidden="false" customHeight="true" outlineLevel="0" collapsed="false">
      <c r="E14" s="5" t="str">
        <f aca="false">IF(B14="","",IFERROR(INDEX(Bolos!$B:$B,MATCH(B14,Bolos!$A:$A,0))&amp;IF(C14="",""," — "&amp;C14)&amp;" — "&amp;D14&amp;" andares",""))</f>
        <v/>
      </c>
      <c r="F14" s="14"/>
      <c r="G14" s="5" t="str">
        <f aca="false">IF(B14="","",IFERROR(INDEX(Bolos!$J:$J,MATCH(B14,Bolos!$A:$A,0)),"Código não encontrado"))</f>
        <v/>
      </c>
      <c r="H14" s="5" t="str">
        <f aca="false">IF(B14="","",IF(G14="Disponível","Sim","Não"))</f>
        <v/>
      </c>
      <c r="I14" s="5" t="str">
        <f aca="false">IF(OR(B14="",D14=""),"",IFERROR(IF(AND(D14&gt;=INDEX(Bolos!$D:$D,MATCH(B14,Bolos!$A:$A,0)),D14&lt;=INDEX(Bolos!$E:$E,MATCH(B14,Bolos!$A:$A,0))),"OK","Fora do limite"),""))</f>
        <v/>
      </c>
      <c r="K14" s="14"/>
      <c r="L14" s="13" t="str">
        <f aca="false">IF(K14="","",ROUND(K14*(1-'Como usar'!$B$26),2))</f>
        <v/>
      </c>
      <c r="M14" s="5" t="str">
        <f aca="false">IF(B14="","",IF(AND(G14="Inativo",IFERROR(INDEX(Bolos!$O:$O,MATCH(B14,Bolos!$A:$A,0)),"")="Sim",K14&lt;&gt;""),"Sim","Não"))</f>
        <v/>
      </c>
      <c r="N14" s="14"/>
    </row>
    <row r="15" customFormat="false" ht="15" hidden="false" customHeight="true" outlineLevel="0" collapsed="false">
      <c r="E15" s="5" t="str">
        <f aca="false">IF(B15="","",IFERROR(INDEX(Bolos!$B:$B,MATCH(B15,Bolos!$A:$A,0))&amp;IF(C15="",""," — "&amp;C15)&amp;" — "&amp;D15&amp;" andares",""))</f>
        <v/>
      </c>
      <c r="F15" s="14"/>
      <c r="G15" s="5" t="str">
        <f aca="false">IF(B15="","",IFERROR(INDEX(Bolos!$J:$J,MATCH(B15,Bolos!$A:$A,0)),"Código não encontrado"))</f>
        <v/>
      </c>
      <c r="H15" s="5" t="str">
        <f aca="false">IF(B15="","",IF(G15="Disponível","Sim","Não"))</f>
        <v/>
      </c>
      <c r="I15" s="5" t="str">
        <f aca="false">IF(OR(B15="",D15=""),"",IFERROR(IF(AND(D15&gt;=INDEX(Bolos!$D:$D,MATCH(B15,Bolos!$A:$A,0)),D15&lt;=INDEX(Bolos!$E:$E,MATCH(B15,Bolos!$A:$A,0))),"OK","Fora do limite"),""))</f>
        <v/>
      </c>
      <c r="K15" s="14"/>
      <c r="L15" s="13" t="str">
        <f aca="false">IF(K15="","",ROUND(K15*(1-'Como usar'!$B$26),2))</f>
        <v/>
      </c>
      <c r="M15" s="5" t="str">
        <f aca="false">IF(B15="","",IF(AND(G15="Inativo",IFERROR(INDEX(Bolos!$O:$O,MATCH(B15,Bolos!$A:$A,0)),"")="Sim",K15&lt;&gt;""),"Sim","Não"))</f>
        <v/>
      </c>
      <c r="N15" s="14"/>
    </row>
    <row r="16" customFormat="false" ht="15" hidden="false" customHeight="true" outlineLevel="0" collapsed="false">
      <c r="E16" s="5" t="str">
        <f aca="false">IF(B16="","",IFERROR(INDEX(Bolos!$B:$B,MATCH(B16,Bolos!$A:$A,0))&amp;IF(C16="",""," — "&amp;C16)&amp;" — "&amp;D16&amp;" andares",""))</f>
        <v/>
      </c>
      <c r="F16" s="14"/>
      <c r="G16" s="5" t="str">
        <f aca="false">IF(B16="","",IFERROR(INDEX(Bolos!$J:$J,MATCH(B16,Bolos!$A:$A,0)),"Código não encontrado"))</f>
        <v/>
      </c>
      <c r="H16" s="5" t="str">
        <f aca="false">IF(B16="","",IF(G16="Disponível","Sim","Não"))</f>
        <v/>
      </c>
      <c r="I16" s="5" t="str">
        <f aca="false">IF(OR(B16="",D16=""),"",IFERROR(IF(AND(D16&gt;=INDEX(Bolos!$D:$D,MATCH(B16,Bolos!$A:$A,0)),D16&lt;=INDEX(Bolos!$E:$E,MATCH(B16,Bolos!$A:$A,0))),"OK","Fora do limite"),""))</f>
        <v/>
      </c>
      <c r="K16" s="14"/>
      <c r="L16" s="13" t="str">
        <f aca="false">IF(K16="","",ROUND(K16*(1-'Como usar'!$B$26),2))</f>
        <v/>
      </c>
      <c r="M16" s="5" t="str">
        <f aca="false">IF(B16="","",IF(AND(G16="Inativo",IFERROR(INDEX(Bolos!$O:$O,MATCH(B16,Bolos!$A:$A,0)),"")="Sim",K16&lt;&gt;""),"Sim","Não"))</f>
        <v/>
      </c>
      <c r="N16" s="14"/>
    </row>
    <row r="17" customFormat="false" ht="15" hidden="false" customHeight="true" outlineLevel="0" collapsed="false">
      <c r="E17" s="5" t="str">
        <f aca="false">IF(B17="","",IFERROR(INDEX(Bolos!$B:$B,MATCH(B17,Bolos!$A:$A,0))&amp;IF(C17="",""," — "&amp;C17)&amp;" — "&amp;D17&amp;" andares",""))</f>
        <v/>
      </c>
      <c r="F17" s="14"/>
      <c r="G17" s="5" t="str">
        <f aca="false">IF(B17="","",IFERROR(INDEX(Bolos!$J:$J,MATCH(B17,Bolos!$A:$A,0)),"Código não encontrado"))</f>
        <v/>
      </c>
      <c r="H17" s="5" t="str">
        <f aca="false">IF(B17="","",IF(G17="Disponível","Sim","Não"))</f>
        <v/>
      </c>
      <c r="I17" s="5" t="str">
        <f aca="false">IF(OR(B17="",D17=""),"",IFERROR(IF(AND(D17&gt;=INDEX(Bolos!$D:$D,MATCH(B17,Bolos!$A:$A,0)),D17&lt;=INDEX(Bolos!$E:$E,MATCH(B17,Bolos!$A:$A,0))),"OK","Fora do limite"),""))</f>
        <v/>
      </c>
      <c r="K17" s="14"/>
      <c r="L17" s="13" t="str">
        <f aca="false">IF(K17="","",ROUND(K17*(1-'Como usar'!$B$26),2))</f>
        <v/>
      </c>
      <c r="M17" s="5" t="str">
        <f aca="false">IF(B17="","",IF(AND(G17="Inativo",IFERROR(INDEX(Bolos!$O:$O,MATCH(B17,Bolos!$A:$A,0)),"")="Sim",K17&lt;&gt;""),"Sim","Não"))</f>
        <v/>
      </c>
      <c r="N17" s="14"/>
    </row>
    <row r="18" customFormat="false" ht="15" hidden="false" customHeight="true" outlineLevel="0" collapsed="false">
      <c r="E18" s="5" t="str">
        <f aca="false">IF(B18="","",IFERROR(INDEX(Bolos!$B:$B,MATCH(B18,Bolos!$A:$A,0))&amp;IF(C18="",""," — "&amp;C18)&amp;" — "&amp;D18&amp;" andares",""))</f>
        <v/>
      </c>
      <c r="F18" s="14"/>
      <c r="G18" s="5" t="str">
        <f aca="false">IF(B18="","",IFERROR(INDEX(Bolos!$J:$J,MATCH(B18,Bolos!$A:$A,0)),"Código não encontrado"))</f>
        <v/>
      </c>
      <c r="H18" s="5" t="str">
        <f aca="false">IF(B18="","",IF(G18="Disponível","Sim","Não"))</f>
        <v/>
      </c>
      <c r="I18" s="5" t="str">
        <f aca="false">IF(OR(B18="",D18=""),"",IFERROR(IF(AND(D18&gt;=INDEX(Bolos!$D:$D,MATCH(B18,Bolos!$A:$A,0)),D18&lt;=INDEX(Bolos!$E:$E,MATCH(B18,Bolos!$A:$A,0))),"OK","Fora do limite"),""))</f>
        <v/>
      </c>
      <c r="K18" s="14"/>
      <c r="L18" s="13" t="str">
        <f aca="false">IF(K18="","",ROUND(K18*(1-'Como usar'!$B$26),2))</f>
        <v/>
      </c>
      <c r="M18" s="5" t="str">
        <f aca="false">IF(B18="","",IF(AND(G18="Inativo",IFERROR(INDEX(Bolos!$O:$O,MATCH(B18,Bolos!$A:$A,0)),"")="Sim",K18&lt;&gt;""),"Sim","Não"))</f>
        <v/>
      </c>
      <c r="N18" s="14"/>
    </row>
    <row r="19" customFormat="false" ht="15" hidden="false" customHeight="true" outlineLevel="0" collapsed="false">
      <c r="E19" s="5" t="str">
        <f aca="false">IF(B19="","",IFERROR(INDEX(Bolos!$B:$B,MATCH(B19,Bolos!$A:$A,0))&amp;IF(C19="",""," — "&amp;C19)&amp;" — "&amp;D19&amp;" andares",""))</f>
        <v/>
      </c>
      <c r="F19" s="14"/>
      <c r="G19" s="5" t="str">
        <f aca="false">IF(B19="","",IFERROR(INDEX(Bolos!$J:$J,MATCH(B19,Bolos!$A:$A,0)),"Código não encontrado"))</f>
        <v/>
      </c>
      <c r="H19" s="5" t="str">
        <f aca="false">IF(B19="","",IF(G19="Disponível","Sim","Não"))</f>
        <v/>
      </c>
      <c r="I19" s="5" t="str">
        <f aca="false">IF(OR(B19="",D19=""),"",IFERROR(IF(AND(D19&gt;=INDEX(Bolos!$D:$D,MATCH(B19,Bolos!$A:$A,0)),D19&lt;=INDEX(Bolos!$E:$E,MATCH(B19,Bolos!$A:$A,0))),"OK","Fora do limite"),""))</f>
        <v/>
      </c>
      <c r="K19" s="14"/>
      <c r="L19" s="13" t="str">
        <f aca="false">IF(K19="","",ROUND(K19*(1-'Como usar'!$B$26),2))</f>
        <v/>
      </c>
      <c r="M19" s="5" t="str">
        <f aca="false">IF(B19="","",IF(AND(G19="Inativo",IFERROR(INDEX(Bolos!$O:$O,MATCH(B19,Bolos!$A:$A,0)),"")="Sim",K19&lt;&gt;""),"Sim","Não"))</f>
        <v/>
      </c>
      <c r="N19" s="14"/>
    </row>
    <row r="20" customFormat="false" ht="15" hidden="false" customHeight="true" outlineLevel="0" collapsed="false">
      <c r="E20" s="5" t="str">
        <f aca="false">IF(B20="","",IFERROR(INDEX(Bolos!$B:$B,MATCH(B20,Bolos!$A:$A,0))&amp;IF(C20="",""," — "&amp;C20)&amp;" — "&amp;D20&amp;" andares",""))</f>
        <v/>
      </c>
      <c r="F20" s="14"/>
      <c r="G20" s="5" t="str">
        <f aca="false">IF(B20="","",IFERROR(INDEX(Bolos!$J:$J,MATCH(B20,Bolos!$A:$A,0)),"Código não encontrado"))</f>
        <v/>
      </c>
      <c r="H20" s="5" t="str">
        <f aca="false">IF(B20="","",IF(G20="Disponível","Sim","Não"))</f>
        <v/>
      </c>
      <c r="I20" s="5" t="str">
        <f aca="false">IF(OR(B20="",D20=""),"",IFERROR(IF(AND(D20&gt;=INDEX(Bolos!$D:$D,MATCH(B20,Bolos!$A:$A,0)),D20&lt;=INDEX(Bolos!$E:$E,MATCH(B20,Bolos!$A:$A,0))),"OK","Fora do limite"),""))</f>
        <v/>
      </c>
      <c r="K20" s="14"/>
      <c r="L20" s="13" t="str">
        <f aca="false">IF(K20="","",ROUND(K20*(1-'Como usar'!$B$26),2))</f>
        <v/>
      </c>
      <c r="M20" s="5" t="str">
        <f aca="false">IF(B20="","",IF(AND(G20="Inativo",IFERROR(INDEX(Bolos!$O:$O,MATCH(B20,Bolos!$A:$A,0)),"")="Sim",K20&lt;&gt;""),"Sim","Não"))</f>
        <v/>
      </c>
      <c r="N20" s="14"/>
    </row>
    <row r="21" customFormat="false" ht="15" hidden="false" customHeight="true" outlineLevel="0" collapsed="false">
      <c r="E21" s="5" t="str">
        <f aca="false">IF(B21="","",IFERROR(INDEX(Bolos!$B:$B,MATCH(B21,Bolos!$A:$A,0))&amp;IF(C21="",""," — "&amp;C21)&amp;" — "&amp;D21&amp;" andares",""))</f>
        <v/>
      </c>
      <c r="F21" s="14"/>
      <c r="G21" s="5" t="str">
        <f aca="false">IF(B21="","",IFERROR(INDEX(Bolos!$J:$J,MATCH(B21,Bolos!$A:$A,0)),"Código não encontrado"))</f>
        <v/>
      </c>
      <c r="H21" s="5" t="str">
        <f aca="false">IF(B21="","",IF(G21="Disponível","Sim","Não"))</f>
        <v/>
      </c>
      <c r="I21" s="5" t="str">
        <f aca="false">IF(OR(B21="",D21=""),"",IFERROR(IF(AND(D21&gt;=INDEX(Bolos!$D:$D,MATCH(B21,Bolos!$A:$A,0)),D21&lt;=INDEX(Bolos!$E:$E,MATCH(B21,Bolos!$A:$A,0))),"OK","Fora do limite"),""))</f>
        <v/>
      </c>
      <c r="K21" s="14"/>
      <c r="L21" s="13" t="str">
        <f aca="false">IF(K21="","",ROUND(K21*(1-'Como usar'!$B$26),2))</f>
        <v/>
      </c>
      <c r="M21" s="5" t="str">
        <f aca="false">IF(B21="","",IF(AND(G21="Inativo",IFERROR(INDEX(Bolos!$O:$O,MATCH(B21,Bolos!$A:$A,0)),"")="Sim",K21&lt;&gt;""),"Sim","Não"))</f>
        <v/>
      </c>
      <c r="N21" s="14"/>
    </row>
    <row r="22" customFormat="false" ht="15" hidden="false" customHeight="true" outlineLevel="0" collapsed="false">
      <c r="E22" s="5" t="str">
        <f aca="false">IF(B22="","",IFERROR(INDEX(Bolos!$B:$B,MATCH(B22,Bolos!$A:$A,0))&amp;IF(C22="",""," — "&amp;C22)&amp;" — "&amp;D22&amp;" andares",""))</f>
        <v/>
      </c>
      <c r="F22" s="14"/>
      <c r="G22" s="5" t="str">
        <f aca="false">IF(B22="","",IFERROR(INDEX(Bolos!$J:$J,MATCH(B22,Bolos!$A:$A,0)),"Código não encontrado"))</f>
        <v/>
      </c>
      <c r="H22" s="5" t="str">
        <f aca="false">IF(B22="","",IF(G22="Disponível","Sim","Não"))</f>
        <v/>
      </c>
      <c r="I22" s="5" t="str">
        <f aca="false">IF(OR(B22="",D22=""),"",IFERROR(IF(AND(D22&gt;=INDEX(Bolos!$D:$D,MATCH(B22,Bolos!$A:$A,0)),D22&lt;=INDEX(Bolos!$E:$E,MATCH(B22,Bolos!$A:$A,0))),"OK","Fora do limite"),""))</f>
        <v/>
      </c>
      <c r="K22" s="14"/>
      <c r="L22" s="13" t="str">
        <f aca="false">IF(K22="","",ROUND(K22*(1-'Como usar'!$B$26),2))</f>
        <v/>
      </c>
      <c r="M22" s="5" t="str">
        <f aca="false">IF(B22="","",IF(AND(G22="Inativo",IFERROR(INDEX(Bolos!$O:$O,MATCH(B22,Bolos!$A:$A,0)),"")="Sim",K22&lt;&gt;""),"Sim","Não"))</f>
        <v/>
      </c>
      <c r="N22" s="14"/>
    </row>
    <row r="23" customFormat="false" ht="15" hidden="false" customHeight="true" outlineLevel="0" collapsed="false">
      <c r="E23" s="5" t="str">
        <f aca="false">IF(B23="","",IFERROR(INDEX(Bolos!$B:$B,MATCH(B23,Bolos!$A:$A,0))&amp;IF(C23="",""," — "&amp;C23)&amp;" — "&amp;D23&amp;" andares",""))</f>
        <v/>
      </c>
      <c r="F23" s="14"/>
      <c r="G23" s="5" t="str">
        <f aca="false">IF(B23="","",IFERROR(INDEX(Bolos!$J:$J,MATCH(B23,Bolos!$A:$A,0)),"Código não encontrado"))</f>
        <v/>
      </c>
      <c r="H23" s="5" t="str">
        <f aca="false">IF(B23="","",IF(G23="Disponível","Sim","Não"))</f>
        <v/>
      </c>
      <c r="I23" s="5" t="str">
        <f aca="false">IF(OR(B23="",D23=""),"",IFERROR(IF(AND(D23&gt;=INDEX(Bolos!$D:$D,MATCH(B23,Bolos!$A:$A,0)),D23&lt;=INDEX(Bolos!$E:$E,MATCH(B23,Bolos!$A:$A,0))),"OK","Fora do limite"),""))</f>
        <v/>
      </c>
      <c r="K23" s="14"/>
      <c r="L23" s="13" t="str">
        <f aca="false">IF(K23="","",ROUND(K23*(1-'Como usar'!$B$26),2))</f>
        <v/>
      </c>
      <c r="M23" s="5" t="str">
        <f aca="false">IF(B23="","",IF(AND(G23="Inativo",IFERROR(INDEX(Bolos!$O:$O,MATCH(B23,Bolos!$A:$A,0)),"")="Sim",K23&lt;&gt;""),"Sim","Não"))</f>
        <v/>
      </c>
      <c r="N23" s="14"/>
    </row>
    <row r="24" customFormat="false" ht="15" hidden="false" customHeight="true" outlineLevel="0" collapsed="false">
      <c r="E24" s="5" t="str">
        <f aca="false">IF(B24="","",IFERROR(INDEX(Bolos!$B:$B,MATCH(B24,Bolos!$A:$A,0))&amp;IF(C24="",""," — "&amp;C24)&amp;" — "&amp;D24&amp;" andares",""))</f>
        <v/>
      </c>
      <c r="F24" s="14"/>
      <c r="G24" s="5" t="str">
        <f aca="false">IF(B24="","",IFERROR(INDEX(Bolos!$J:$J,MATCH(B24,Bolos!$A:$A,0)),"Código não encontrado"))</f>
        <v/>
      </c>
      <c r="H24" s="5" t="str">
        <f aca="false">IF(B24="","",IF(G24="Disponível","Sim","Não"))</f>
        <v/>
      </c>
      <c r="I24" s="5" t="str">
        <f aca="false">IF(OR(B24="",D24=""),"",IFERROR(IF(AND(D24&gt;=INDEX(Bolos!$D:$D,MATCH(B24,Bolos!$A:$A,0)),D24&lt;=INDEX(Bolos!$E:$E,MATCH(B24,Bolos!$A:$A,0))),"OK","Fora do limite"),""))</f>
        <v/>
      </c>
      <c r="K24" s="14"/>
      <c r="L24" s="13" t="str">
        <f aca="false">IF(K24="","",ROUND(K24*(1-'Como usar'!$B$26),2))</f>
        <v/>
      </c>
      <c r="M24" s="5" t="str">
        <f aca="false">IF(B24="","",IF(AND(G24="Inativo",IFERROR(INDEX(Bolos!$O:$O,MATCH(B24,Bolos!$A:$A,0)),"")="Sim",K24&lt;&gt;""),"Sim","Não"))</f>
        <v/>
      </c>
      <c r="N24" s="14"/>
    </row>
    <row r="25" customFormat="false" ht="15" hidden="false" customHeight="true" outlineLevel="0" collapsed="false">
      <c r="E25" s="5" t="str">
        <f aca="false">IF(B25="","",IFERROR(INDEX(Bolos!$B:$B,MATCH(B25,Bolos!$A:$A,0))&amp;IF(C25="",""," — "&amp;C25)&amp;" — "&amp;D25&amp;" andares",""))</f>
        <v/>
      </c>
      <c r="F25" s="14"/>
      <c r="G25" s="5" t="str">
        <f aca="false">IF(B25="","",IFERROR(INDEX(Bolos!$J:$J,MATCH(B25,Bolos!$A:$A,0)),"Código não encontrado"))</f>
        <v/>
      </c>
      <c r="H25" s="5" t="str">
        <f aca="false">IF(B25="","",IF(G25="Disponível","Sim","Não"))</f>
        <v/>
      </c>
      <c r="I25" s="5" t="str">
        <f aca="false">IF(OR(B25="",D25=""),"",IFERROR(IF(AND(D25&gt;=INDEX(Bolos!$D:$D,MATCH(B25,Bolos!$A:$A,0)),D25&lt;=INDEX(Bolos!$E:$E,MATCH(B25,Bolos!$A:$A,0))),"OK","Fora do limite"),""))</f>
        <v/>
      </c>
      <c r="K25" s="14"/>
      <c r="L25" s="13" t="str">
        <f aca="false">IF(K25="","",ROUND(K25*(1-'Como usar'!$B$26),2))</f>
        <v/>
      </c>
      <c r="M25" s="5" t="str">
        <f aca="false">IF(B25="","",IF(AND(G25="Inativo",IFERROR(INDEX(Bolos!$O:$O,MATCH(B25,Bolos!$A:$A,0)),"")="Sim",K25&lt;&gt;""),"Sim","Não"))</f>
        <v/>
      </c>
      <c r="N25" s="14"/>
    </row>
    <row r="26" customFormat="false" ht="15" hidden="false" customHeight="true" outlineLevel="0" collapsed="false">
      <c r="E26" s="5" t="str">
        <f aca="false">IF(B26="","",IFERROR(INDEX(Bolos!$B:$B,MATCH(B26,Bolos!$A:$A,0))&amp;IF(C26="",""," — "&amp;C26)&amp;" — "&amp;D26&amp;" andares",""))</f>
        <v/>
      </c>
      <c r="F26" s="14"/>
      <c r="G26" s="5" t="str">
        <f aca="false">IF(B26="","",IFERROR(INDEX(Bolos!$J:$J,MATCH(B26,Bolos!$A:$A,0)),"Código não encontrado"))</f>
        <v/>
      </c>
      <c r="H26" s="5" t="str">
        <f aca="false">IF(B26="","",IF(G26="Disponível","Sim","Não"))</f>
        <v/>
      </c>
      <c r="I26" s="5" t="str">
        <f aca="false">IF(OR(B26="",D26=""),"",IFERROR(IF(AND(D26&gt;=INDEX(Bolos!$D:$D,MATCH(B26,Bolos!$A:$A,0)),D26&lt;=INDEX(Bolos!$E:$E,MATCH(B26,Bolos!$A:$A,0))),"OK","Fora do limite"),""))</f>
        <v/>
      </c>
      <c r="K26" s="14"/>
      <c r="L26" s="13" t="str">
        <f aca="false">IF(K26="","",ROUND(K26*(1-'Como usar'!$B$26),2))</f>
        <v/>
      </c>
      <c r="M26" s="5" t="str">
        <f aca="false">IF(B26="","",IF(AND(G26="Inativo",IFERROR(INDEX(Bolos!$O:$O,MATCH(B26,Bolos!$A:$A,0)),"")="Sim",K26&lt;&gt;""),"Sim","Não"))</f>
        <v/>
      </c>
      <c r="N26" s="14"/>
    </row>
    <row r="27" customFormat="false" ht="15" hidden="false" customHeight="true" outlineLevel="0" collapsed="false">
      <c r="E27" s="5" t="str">
        <f aca="false">IF(B27="","",IFERROR(INDEX(Bolos!$B:$B,MATCH(B27,Bolos!$A:$A,0))&amp;IF(C27="",""," — "&amp;C27)&amp;" — "&amp;D27&amp;" andares",""))</f>
        <v/>
      </c>
      <c r="F27" s="14"/>
      <c r="G27" s="5" t="str">
        <f aca="false">IF(B27="","",IFERROR(INDEX(Bolos!$J:$J,MATCH(B27,Bolos!$A:$A,0)),"Código não encontrado"))</f>
        <v/>
      </c>
      <c r="H27" s="5" t="str">
        <f aca="false">IF(B27="","",IF(G27="Disponível","Sim","Não"))</f>
        <v/>
      </c>
      <c r="I27" s="5" t="str">
        <f aca="false">IF(OR(B27="",D27=""),"",IFERROR(IF(AND(D27&gt;=INDEX(Bolos!$D:$D,MATCH(B27,Bolos!$A:$A,0)),D27&lt;=INDEX(Bolos!$E:$E,MATCH(B27,Bolos!$A:$A,0))),"OK","Fora do limite"),""))</f>
        <v/>
      </c>
      <c r="K27" s="14"/>
      <c r="L27" s="13" t="str">
        <f aca="false">IF(K27="","",ROUND(K27*(1-'Como usar'!$B$26),2))</f>
        <v/>
      </c>
      <c r="M27" s="5" t="str">
        <f aca="false">IF(B27="","",IF(AND(G27="Inativo",IFERROR(INDEX(Bolos!$O:$O,MATCH(B27,Bolos!$A:$A,0)),"")="Sim",K27&lt;&gt;""),"Sim","Não"))</f>
        <v/>
      </c>
      <c r="N27" s="14"/>
    </row>
    <row r="28" customFormat="false" ht="15" hidden="false" customHeight="true" outlineLevel="0" collapsed="false">
      <c r="E28" s="5" t="str">
        <f aca="false">IF(B28="","",IFERROR(INDEX(Bolos!$B:$B,MATCH(B28,Bolos!$A:$A,0))&amp;IF(C28="",""," — "&amp;C28)&amp;" — "&amp;D28&amp;" andares",""))</f>
        <v/>
      </c>
      <c r="F28" s="14"/>
      <c r="G28" s="5" t="str">
        <f aca="false">IF(B28="","",IFERROR(INDEX(Bolos!$J:$J,MATCH(B28,Bolos!$A:$A,0)),"Código não encontrado"))</f>
        <v/>
      </c>
      <c r="H28" s="5" t="str">
        <f aca="false">IF(B28="","",IF(G28="Disponível","Sim","Não"))</f>
        <v/>
      </c>
      <c r="I28" s="5" t="str">
        <f aca="false">IF(OR(B28="",D28=""),"",IFERROR(IF(AND(D28&gt;=INDEX(Bolos!$D:$D,MATCH(B28,Bolos!$A:$A,0)),D28&lt;=INDEX(Bolos!$E:$E,MATCH(B28,Bolos!$A:$A,0))),"OK","Fora do limite"),""))</f>
        <v/>
      </c>
      <c r="K28" s="14"/>
      <c r="L28" s="13" t="str">
        <f aca="false">IF(K28="","",ROUND(K28*(1-'Como usar'!$B$26),2))</f>
        <v/>
      </c>
      <c r="M28" s="5" t="str">
        <f aca="false">IF(B28="","",IF(AND(G28="Inativo",IFERROR(INDEX(Bolos!$O:$O,MATCH(B28,Bolos!$A:$A,0)),"")="Sim",K28&lt;&gt;""),"Sim","Não"))</f>
        <v/>
      </c>
      <c r="N28" s="14"/>
    </row>
    <row r="29" customFormat="false" ht="15" hidden="false" customHeight="true" outlineLevel="0" collapsed="false">
      <c r="E29" s="5" t="str">
        <f aca="false">IF(B29="","",IFERROR(INDEX(Bolos!$B:$B,MATCH(B29,Bolos!$A:$A,0))&amp;IF(C29="",""," — "&amp;C29)&amp;" — "&amp;D29&amp;" andares",""))</f>
        <v/>
      </c>
      <c r="F29" s="14"/>
      <c r="G29" s="5" t="str">
        <f aca="false">IF(B29="","",IFERROR(INDEX(Bolos!$J:$J,MATCH(B29,Bolos!$A:$A,0)),"Código não encontrado"))</f>
        <v/>
      </c>
      <c r="H29" s="5" t="str">
        <f aca="false">IF(B29="","",IF(G29="Disponível","Sim","Não"))</f>
        <v/>
      </c>
      <c r="I29" s="5" t="str">
        <f aca="false">IF(OR(B29="",D29=""),"",IFERROR(IF(AND(D29&gt;=INDEX(Bolos!$D:$D,MATCH(B29,Bolos!$A:$A,0)),D29&lt;=INDEX(Bolos!$E:$E,MATCH(B29,Bolos!$A:$A,0))),"OK","Fora do limite"),""))</f>
        <v/>
      </c>
      <c r="K29" s="14"/>
      <c r="L29" s="13" t="str">
        <f aca="false">IF(K29="","",ROUND(K29*(1-'Como usar'!$B$26),2))</f>
        <v/>
      </c>
      <c r="M29" s="5" t="str">
        <f aca="false">IF(B29="","",IF(AND(G29="Inativo",IFERROR(INDEX(Bolos!$O:$O,MATCH(B29,Bolos!$A:$A,0)),"")="Sim",K29&lt;&gt;""),"Sim","Não"))</f>
        <v/>
      </c>
      <c r="N29" s="14"/>
    </row>
    <row r="30" customFormat="false" ht="15" hidden="false" customHeight="true" outlineLevel="0" collapsed="false">
      <c r="E30" s="5" t="str">
        <f aca="false">IF(B30="","",IFERROR(INDEX(Bolos!$B:$B,MATCH(B30,Bolos!$A:$A,0))&amp;IF(C30="",""," — "&amp;C30)&amp;" — "&amp;D30&amp;" andares",""))</f>
        <v/>
      </c>
      <c r="F30" s="14"/>
      <c r="G30" s="5" t="str">
        <f aca="false">IF(B30="","",IFERROR(INDEX(Bolos!$J:$J,MATCH(B30,Bolos!$A:$A,0)),"Código não encontrado"))</f>
        <v/>
      </c>
      <c r="H30" s="5" t="str">
        <f aca="false">IF(B30="","",IF(G30="Disponível","Sim","Não"))</f>
        <v/>
      </c>
      <c r="I30" s="5" t="str">
        <f aca="false">IF(OR(B30="",D30=""),"",IFERROR(IF(AND(D30&gt;=INDEX(Bolos!$D:$D,MATCH(B30,Bolos!$A:$A,0)),D30&lt;=INDEX(Bolos!$E:$E,MATCH(B30,Bolos!$A:$A,0))),"OK","Fora do limite"),""))</f>
        <v/>
      </c>
      <c r="K30" s="14"/>
      <c r="L30" s="13" t="str">
        <f aca="false">IF(K30="","",ROUND(K30*(1-'Como usar'!$B$26),2))</f>
        <v/>
      </c>
      <c r="M30" s="5" t="str">
        <f aca="false">IF(B30="","",IF(AND(G30="Inativo",IFERROR(INDEX(Bolos!$O:$O,MATCH(B30,Bolos!$A:$A,0)),"")="Sim",K30&lt;&gt;""),"Sim","Não"))</f>
        <v/>
      </c>
      <c r="N30" s="14"/>
    </row>
    <row r="31" customFormat="false" ht="15" hidden="false" customHeight="true" outlineLevel="0" collapsed="false">
      <c r="E31" s="5" t="str">
        <f aca="false">IF(B31="","",IFERROR(INDEX(Bolos!$B:$B,MATCH(B31,Bolos!$A:$A,0))&amp;IF(C31="",""," — "&amp;C31)&amp;" — "&amp;D31&amp;" andares",""))</f>
        <v/>
      </c>
      <c r="F31" s="14"/>
      <c r="G31" s="5" t="str">
        <f aca="false">IF(B31="","",IFERROR(INDEX(Bolos!$J:$J,MATCH(B31,Bolos!$A:$A,0)),"Código não encontrado"))</f>
        <v/>
      </c>
      <c r="H31" s="5" t="str">
        <f aca="false">IF(B31="","",IF(G31="Disponível","Sim","Não"))</f>
        <v/>
      </c>
      <c r="I31" s="5" t="str">
        <f aca="false">IF(OR(B31="",D31=""),"",IFERROR(IF(AND(D31&gt;=INDEX(Bolos!$D:$D,MATCH(B31,Bolos!$A:$A,0)),D31&lt;=INDEX(Bolos!$E:$E,MATCH(B31,Bolos!$A:$A,0))),"OK","Fora do limite"),""))</f>
        <v/>
      </c>
      <c r="K31" s="14"/>
      <c r="L31" s="13" t="str">
        <f aca="false">IF(K31="","",ROUND(K31*(1-'Como usar'!$B$26),2))</f>
        <v/>
      </c>
      <c r="M31" s="5" t="str">
        <f aca="false">IF(B31="","",IF(AND(G31="Inativo",IFERROR(INDEX(Bolos!$O:$O,MATCH(B31,Bolos!$A:$A,0)),"")="Sim",K31&lt;&gt;""),"Sim","Não"))</f>
        <v/>
      </c>
      <c r="N31" s="14"/>
    </row>
    <row r="32" customFormat="false" ht="15" hidden="false" customHeight="true" outlineLevel="0" collapsed="false">
      <c r="E32" s="5" t="str">
        <f aca="false">IF(B32="","",IFERROR(INDEX(Bolos!$B:$B,MATCH(B32,Bolos!$A:$A,0))&amp;IF(C32="",""," — "&amp;C32)&amp;" — "&amp;D32&amp;" andares",""))</f>
        <v/>
      </c>
      <c r="F32" s="14"/>
      <c r="G32" s="5" t="str">
        <f aca="false">IF(B32="","",IFERROR(INDEX(Bolos!$J:$J,MATCH(B32,Bolos!$A:$A,0)),"Código não encontrado"))</f>
        <v/>
      </c>
      <c r="H32" s="5" t="str">
        <f aca="false">IF(B32="","",IF(G32="Disponível","Sim","Não"))</f>
        <v/>
      </c>
      <c r="I32" s="5" t="str">
        <f aca="false">IF(OR(B32="",D32=""),"",IFERROR(IF(AND(D32&gt;=INDEX(Bolos!$D:$D,MATCH(B32,Bolos!$A:$A,0)),D32&lt;=INDEX(Bolos!$E:$E,MATCH(B32,Bolos!$A:$A,0))),"OK","Fora do limite"),""))</f>
        <v/>
      </c>
      <c r="K32" s="14"/>
      <c r="L32" s="13" t="str">
        <f aca="false">IF(K32="","",ROUND(K32*(1-'Como usar'!$B$26),2))</f>
        <v/>
      </c>
      <c r="M32" s="5" t="str">
        <f aca="false">IF(B32="","",IF(AND(G32="Inativo",IFERROR(INDEX(Bolos!$O:$O,MATCH(B32,Bolos!$A:$A,0)),"")="Sim",K32&lt;&gt;""),"Sim","Não"))</f>
        <v/>
      </c>
      <c r="N32" s="14"/>
    </row>
    <row r="33" customFormat="false" ht="15" hidden="false" customHeight="true" outlineLevel="0" collapsed="false">
      <c r="E33" s="5" t="str">
        <f aca="false">IF(B33="","",IFERROR(INDEX(Bolos!$B:$B,MATCH(B33,Bolos!$A:$A,0))&amp;IF(C33="",""," — "&amp;C33)&amp;" — "&amp;D33&amp;" andares",""))</f>
        <v/>
      </c>
      <c r="F33" s="14"/>
      <c r="G33" s="5" t="str">
        <f aca="false">IF(B33="","",IFERROR(INDEX(Bolos!$J:$J,MATCH(B33,Bolos!$A:$A,0)),"Código não encontrado"))</f>
        <v/>
      </c>
      <c r="H33" s="5" t="str">
        <f aca="false">IF(B33="","",IF(G33="Disponível","Sim","Não"))</f>
        <v/>
      </c>
      <c r="I33" s="5" t="str">
        <f aca="false">IF(OR(B33="",D33=""),"",IFERROR(IF(AND(D33&gt;=INDEX(Bolos!$D:$D,MATCH(B33,Bolos!$A:$A,0)),D33&lt;=INDEX(Bolos!$E:$E,MATCH(B33,Bolos!$A:$A,0))),"OK","Fora do limite"),""))</f>
        <v/>
      </c>
      <c r="K33" s="14"/>
      <c r="L33" s="13" t="str">
        <f aca="false">IF(K33="","",ROUND(K33*(1-'Como usar'!$B$26),2))</f>
        <v/>
      </c>
      <c r="M33" s="5" t="str">
        <f aca="false">IF(B33="","",IF(AND(G33="Inativo",IFERROR(INDEX(Bolos!$O:$O,MATCH(B33,Bolos!$A:$A,0)),"")="Sim",K33&lt;&gt;""),"Sim","Não"))</f>
        <v/>
      </c>
      <c r="N33" s="14"/>
    </row>
    <row r="34" customFormat="false" ht="15" hidden="false" customHeight="true" outlineLevel="0" collapsed="false">
      <c r="E34" s="5" t="str">
        <f aca="false">IF(B34="","",IFERROR(INDEX(Bolos!$B:$B,MATCH(B34,Bolos!$A:$A,0))&amp;IF(C34="",""," — "&amp;C34)&amp;" — "&amp;D34&amp;" andares",""))</f>
        <v/>
      </c>
      <c r="F34" s="14"/>
      <c r="G34" s="5" t="str">
        <f aca="false">IF(B34="","",IFERROR(INDEX(Bolos!$J:$J,MATCH(B34,Bolos!$A:$A,0)),"Código não encontrado"))</f>
        <v/>
      </c>
      <c r="H34" s="5" t="str">
        <f aca="false">IF(B34="","",IF(G34="Disponível","Sim","Não"))</f>
        <v/>
      </c>
      <c r="I34" s="5" t="str">
        <f aca="false">IF(OR(B34="",D34=""),"",IFERROR(IF(AND(D34&gt;=INDEX(Bolos!$D:$D,MATCH(B34,Bolos!$A:$A,0)),D34&lt;=INDEX(Bolos!$E:$E,MATCH(B34,Bolos!$A:$A,0))),"OK","Fora do limite"),""))</f>
        <v/>
      </c>
      <c r="K34" s="14"/>
      <c r="L34" s="13" t="str">
        <f aca="false">IF(K34="","",ROUND(K34*(1-'Como usar'!$B$26),2))</f>
        <v/>
      </c>
      <c r="M34" s="5" t="str">
        <f aca="false">IF(B34="","",IF(AND(G34="Inativo",IFERROR(INDEX(Bolos!$O:$O,MATCH(B34,Bolos!$A:$A,0)),"")="Sim",K34&lt;&gt;""),"Sim","Não"))</f>
        <v/>
      </c>
      <c r="N34" s="14"/>
    </row>
    <row r="35" customFormat="false" ht="15" hidden="false" customHeight="true" outlineLevel="0" collapsed="false">
      <c r="E35" s="5" t="str">
        <f aca="false">IF(B35="","",IFERROR(INDEX(Bolos!$B:$B,MATCH(B35,Bolos!$A:$A,0))&amp;IF(C35="",""," — "&amp;C35)&amp;" — "&amp;D35&amp;" andares",""))</f>
        <v/>
      </c>
      <c r="F35" s="14"/>
      <c r="G35" s="5" t="str">
        <f aca="false">IF(B35="","",IFERROR(INDEX(Bolos!$J:$J,MATCH(B35,Bolos!$A:$A,0)),"Código não encontrado"))</f>
        <v/>
      </c>
      <c r="H35" s="5" t="str">
        <f aca="false">IF(B35="","",IF(G35="Disponível","Sim","Não"))</f>
        <v/>
      </c>
      <c r="I35" s="5" t="str">
        <f aca="false">IF(OR(B35="",D35=""),"",IFERROR(IF(AND(D35&gt;=INDEX(Bolos!$D:$D,MATCH(B35,Bolos!$A:$A,0)),D35&lt;=INDEX(Bolos!$E:$E,MATCH(B35,Bolos!$A:$A,0))),"OK","Fora do limite"),""))</f>
        <v/>
      </c>
      <c r="K35" s="14"/>
      <c r="L35" s="13" t="str">
        <f aca="false">IF(K35="","",ROUND(K35*(1-'Como usar'!$B$26),2))</f>
        <v/>
      </c>
      <c r="M35" s="5" t="str">
        <f aca="false">IF(B35="","",IF(AND(G35="Inativo",IFERROR(INDEX(Bolos!$O:$O,MATCH(B35,Bolos!$A:$A,0)),"")="Sim",K35&lt;&gt;""),"Sim","Não"))</f>
        <v/>
      </c>
      <c r="N35" s="14"/>
    </row>
    <row r="36" customFormat="false" ht="15" hidden="false" customHeight="true" outlineLevel="0" collapsed="false">
      <c r="E36" s="5" t="str">
        <f aca="false">IF(B36="","",IFERROR(INDEX(Bolos!$B:$B,MATCH(B36,Bolos!$A:$A,0))&amp;IF(C36="",""," — "&amp;C36)&amp;" — "&amp;D36&amp;" andares",""))</f>
        <v/>
      </c>
      <c r="F36" s="14"/>
      <c r="G36" s="5" t="str">
        <f aca="false">IF(B36="","",IFERROR(INDEX(Bolos!$J:$J,MATCH(B36,Bolos!$A:$A,0)),"Código não encontrado"))</f>
        <v/>
      </c>
      <c r="H36" s="5" t="str">
        <f aca="false">IF(B36="","",IF(G36="Disponível","Sim","Não"))</f>
        <v/>
      </c>
      <c r="I36" s="5" t="str">
        <f aca="false">IF(OR(B36="",D36=""),"",IFERROR(IF(AND(D36&gt;=INDEX(Bolos!$D:$D,MATCH(B36,Bolos!$A:$A,0)),D36&lt;=INDEX(Bolos!$E:$E,MATCH(B36,Bolos!$A:$A,0))),"OK","Fora do limite"),""))</f>
        <v/>
      </c>
      <c r="K36" s="14"/>
      <c r="L36" s="13" t="str">
        <f aca="false">IF(K36="","",ROUND(K36*(1-'Como usar'!$B$26),2))</f>
        <v/>
      </c>
      <c r="M36" s="5" t="str">
        <f aca="false">IF(B36="","",IF(AND(G36="Inativo",IFERROR(INDEX(Bolos!$O:$O,MATCH(B36,Bolos!$A:$A,0)),"")="Sim",K36&lt;&gt;""),"Sim","Não"))</f>
        <v/>
      </c>
      <c r="N36" s="14"/>
    </row>
    <row r="37" customFormat="false" ht="15" hidden="false" customHeight="true" outlineLevel="0" collapsed="false">
      <c r="E37" s="5" t="str">
        <f aca="false">IF(B37="","",IFERROR(INDEX(Bolos!$B:$B,MATCH(B37,Bolos!$A:$A,0))&amp;IF(C37="",""," — "&amp;C37)&amp;" — "&amp;D37&amp;" andares",""))</f>
        <v/>
      </c>
      <c r="F37" s="14"/>
      <c r="G37" s="5" t="str">
        <f aca="false">IF(B37="","",IFERROR(INDEX(Bolos!$J:$J,MATCH(B37,Bolos!$A:$A,0)),"Código não encontrado"))</f>
        <v/>
      </c>
      <c r="H37" s="5" t="str">
        <f aca="false">IF(B37="","",IF(G37="Disponível","Sim","Não"))</f>
        <v/>
      </c>
      <c r="I37" s="5" t="str">
        <f aca="false">IF(OR(B37="",D37=""),"",IFERROR(IF(AND(D37&gt;=INDEX(Bolos!$D:$D,MATCH(B37,Bolos!$A:$A,0)),D37&lt;=INDEX(Bolos!$E:$E,MATCH(B37,Bolos!$A:$A,0))),"OK","Fora do limite"),""))</f>
        <v/>
      </c>
      <c r="K37" s="14"/>
      <c r="L37" s="13" t="str">
        <f aca="false">IF(K37="","",ROUND(K37*(1-'Como usar'!$B$26),2))</f>
        <v/>
      </c>
      <c r="M37" s="5" t="str">
        <f aca="false">IF(B37="","",IF(AND(G37="Inativo",IFERROR(INDEX(Bolos!$O:$O,MATCH(B37,Bolos!$A:$A,0)),"")="Sim",K37&lt;&gt;""),"Sim","Não"))</f>
        <v/>
      </c>
      <c r="N37" s="14"/>
    </row>
    <row r="38" customFormat="false" ht="15" hidden="false" customHeight="true" outlineLevel="0" collapsed="false">
      <c r="E38" s="5" t="str">
        <f aca="false">IF(B38="","",IFERROR(INDEX(Bolos!$B:$B,MATCH(B38,Bolos!$A:$A,0))&amp;IF(C38="",""," — "&amp;C38)&amp;" — "&amp;D38&amp;" andares",""))</f>
        <v/>
      </c>
      <c r="F38" s="14"/>
      <c r="G38" s="5" t="str">
        <f aca="false">IF(B38="","",IFERROR(INDEX(Bolos!$J:$J,MATCH(B38,Bolos!$A:$A,0)),"Código não encontrado"))</f>
        <v/>
      </c>
      <c r="H38" s="5" t="str">
        <f aca="false">IF(B38="","",IF(G38="Disponível","Sim","Não"))</f>
        <v/>
      </c>
      <c r="I38" s="5" t="str">
        <f aca="false">IF(OR(B38="",D38=""),"",IFERROR(IF(AND(D38&gt;=INDEX(Bolos!$D:$D,MATCH(B38,Bolos!$A:$A,0)),D38&lt;=INDEX(Bolos!$E:$E,MATCH(B38,Bolos!$A:$A,0))),"OK","Fora do limite"),""))</f>
        <v/>
      </c>
      <c r="K38" s="14"/>
      <c r="L38" s="13" t="str">
        <f aca="false">IF(K38="","",ROUND(K38*(1-'Como usar'!$B$26),2))</f>
        <v/>
      </c>
      <c r="M38" s="5" t="str">
        <f aca="false">IF(B38="","",IF(AND(G38="Inativo",IFERROR(INDEX(Bolos!$O:$O,MATCH(B38,Bolos!$A:$A,0)),"")="Sim",K38&lt;&gt;""),"Sim","Não"))</f>
        <v/>
      </c>
      <c r="N38" s="14"/>
    </row>
    <row r="39" customFormat="false" ht="15" hidden="false" customHeight="true" outlineLevel="0" collapsed="false">
      <c r="E39" s="5" t="str">
        <f aca="false">IF(B39="","",IFERROR(INDEX(Bolos!$B:$B,MATCH(B39,Bolos!$A:$A,0))&amp;IF(C39="",""," — "&amp;C39)&amp;" — "&amp;D39&amp;" andares",""))</f>
        <v/>
      </c>
      <c r="F39" s="14"/>
      <c r="G39" s="5" t="str">
        <f aca="false">IF(B39="","",IFERROR(INDEX(Bolos!$J:$J,MATCH(B39,Bolos!$A:$A,0)),"Código não encontrado"))</f>
        <v/>
      </c>
      <c r="H39" s="5" t="str">
        <f aca="false">IF(B39="","",IF(G39="Disponível","Sim","Não"))</f>
        <v/>
      </c>
      <c r="I39" s="5" t="str">
        <f aca="false">IF(OR(B39="",D39=""),"",IFERROR(IF(AND(D39&gt;=INDEX(Bolos!$D:$D,MATCH(B39,Bolos!$A:$A,0)),D39&lt;=INDEX(Bolos!$E:$E,MATCH(B39,Bolos!$A:$A,0))),"OK","Fora do limite"),""))</f>
        <v/>
      </c>
      <c r="K39" s="14"/>
      <c r="L39" s="13" t="str">
        <f aca="false">IF(K39="","",ROUND(K39*(1-'Como usar'!$B$26),2))</f>
        <v/>
      </c>
      <c r="M39" s="5" t="str">
        <f aca="false">IF(B39="","",IF(AND(G39="Inativo",IFERROR(INDEX(Bolos!$O:$O,MATCH(B39,Bolos!$A:$A,0)),"")="Sim",K39&lt;&gt;""),"Sim","Não"))</f>
        <v/>
      </c>
      <c r="N39" s="14"/>
    </row>
    <row r="40" customFormat="false" ht="15" hidden="false" customHeight="true" outlineLevel="0" collapsed="false">
      <c r="E40" s="5" t="str">
        <f aca="false">IF(B40="","",IFERROR(INDEX(Bolos!$B:$B,MATCH(B40,Bolos!$A:$A,0))&amp;IF(C40="",""," — "&amp;C40)&amp;" — "&amp;D40&amp;" andares",""))</f>
        <v/>
      </c>
      <c r="F40" s="14"/>
      <c r="G40" s="5" t="str">
        <f aca="false">IF(B40="","",IFERROR(INDEX(Bolos!$J:$J,MATCH(B40,Bolos!$A:$A,0)),"Código não encontrado"))</f>
        <v/>
      </c>
      <c r="H40" s="5" t="str">
        <f aca="false">IF(B40="","",IF(G40="Disponível","Sim","Não"))</f>
        <v/>
      </c>
      <c r="I40" s="5" t="str">
        <f aca="false">IF(OR(B40="",D40=""),"",IFERROR(IF(AND(D40&gt;=INDEX(Bolos!$D:$D,MATCH(B40,Bolos!$A:$A,0)),D40&lt;=INDEX(Bolos!$E:$E,MATCH(B40,Bolos!$A:$A,0))),"OK","Fora do limite"),""))</f>
        <v/>
      </c>
      <c r="K40" s="14"/>
      <c r="L40" s="13" t="str">
        <f aca="false">IF(K40="","",ROUND(K40*(1-'Como usar'!$B$26),2))</f>
        <v/>
      </c>
      <c r="M40" s="5" t="str">
        <f aca="false">IF(B40="","",IF(AND(G40="Inativo",IFERROR(INDEX(Bolos!$O:$O,MATCH(B40,Bolos!$A:$A,0)),"")="Sim",K40&lt;&gt;""),"Sim","Não"))</f>
        <v/>
      </c>
      <c r="N40" s="14"/>
    </row>
    <row r="41" customFormat="false" ht="15" hidden="false" customHeight="true" outlineLevel="0" collapsed="false">
      <c r="E41" s="5" t="str">
        <f aca="false">IF(B41="","",IFERROR(INDEX(Bolos!$B:$B,MATCH(B41,Bolos!$A:$A,0))&amp;IF(C41="",""," — "&amp;C41)&amp;" — "&amp;D41&amp;" andares",""))</f>
        <v/>
      </c>
      <c r="F41" s="14"/>
      <c r="G41" s="5" t="str">
        <f aca="false">IF(B41="","",IFERROR(INDEX(Bolos!$J:$J,MATCH(B41,Bolos!$A:$A,0)),"Código não encontrado"))</f>
        <v/>
      </c>
      <c r="H41" s="5" t="str">
        <f aca="false">IF(B41="","",IF(G41="Disponível","Sim","Não"))</f>
        <v/>
      </c>
      <c r="I41" s="5" t="str">
        <f aca="false">IF(OR(B41="",D41=""),"",IFERROR(IF(AND(D41&gt;=INDEX(Bolos!$D:$D,MATCH(B41,Bolos!$A:$A,0)),D41&lt;=INDEX(Bolos!$E:$E,MATCH(B41,Bolos!$A:$A,0))),"OK","Fora do limite"),""))</f>
        <v/>
      </c>
      <c r="K41" s="14"/>
      <c r="L41" s="13" t="str">
        <f aca="false">IF(K41="","",ROUND(K41*(1-'Como usar'!$B$26),2))</f>
        <v/>
      </c>
      <c r="M41" s="5" t="str">
        <f aca="false">IF(B41="","",IF(AND(G41="Inativo",IFERROR(INDEX(Bolos!$O:$O,MATCH(B41,Bolos!$A:$A,0)),"")="Sim",K41&lt;&gt;""),"Sim","Não"))</f>
        <v/>
      </c>
      <c r="N41" s="14"/>
    </row>
    <row r="42" customFormat="false" ht="15" hidden="false" customHeight="true" outlineLevel="0" collapsed="false">
      <c r="E42" s="5" t="str">
        <f aca="false">IF(B42="","",IFERROR(INDEX(Bolos!$B:$B,MATCH(B42,Bolos!$A:$A,0))&amp;IF(C42="",""," — "&amp;C42)&amp;" — "&amp;D42&amp;" andares",""))</f>
        <v/>
      </c>
      <c r="F42" s="14"/>
      <c r="G42" s="5" t="str">
        <f aca="false">IF(B42="","",IFERROR(INDEX(Bolos!$J:$J,MATCH(B42,Bolos!$A:$A,0)),"Código não encontrado"))</f>
        <v/>
      </c>
      <c r="H42" s="5" t="str">
        <f aca="false">IF(B42="","",IF(G42="Disponível","Sim","Não"))</f>
        <v/>
      </c>
      <c r="I42" s="5" t="str">
        <f aca="false">IF(OR(B42="",D42=""),"",IFERROR(IF(AND(D42&gt;=INDEX(Bolos!$D:$D,MATCH(B42,Bolos!$A:$A,0)),D42&lt;=INDEX(Bolos!$E:$E,MATCH(B42,Bolos!$A:$A,0))),"OK","Fora do limite"),""))</f>
        <v/>
      </c>
      <c r="K42" s="14"/>
      <c r="L42" s="13" t="str">
        <f aca="false">IF(K42="","",ROUND(K42*(1-'Como usar'!$B$26),2))</f>
        <v/>
      </c>
      <c r="M42" s="5" t="str">
        <f aca="false">IF(B42="","",IF(AND(G42="Inativo",IFERROR(INDEX(Bolos!$O:$O,MATCH(B42,Bolos!$A:$A,0)),"")="Sim",K42&lt;&gt;""),"Sim","Não"))</f>
        <v/>
      </c>
      <c r="N42" s="14"/>
    </row>
    <row r="43" customFormat="false" ht="15" hidden="false" customHeight="true" outlineLevel="0" collapsed="false">
      <c r="E43" s="5" t="str">
        <f aca="false">IF(B43="","",IFERROR(INDEX(Bolos!$B:$B,MATCH(B43,Bolos!$A:$A,0))&amp;IF(C43="",""," — "&amp;C43)&amp;" — "&amp;D43&amp;" andares",""))</f>
        <v/>
      </c>
      <c r="F43" s="14"/>
      <c r="G43" s="5" t="str">
        <f aca="false">IF(B43="","",IFERROR(INDEX(Bolos!$J:$J,MATCH(B43,Bolos!$A:$A,0)),"Código não encontrado"))</f>
        <v/>
      </c>
      <c r="H43" s="5" t="str">
        <f aca="false">IF(B43="","",IF(G43="Disponível","Sim","Não"))</f>
        <v/>
      </c>
      <c r="I43" s="5" t="str">
        <f aca="false">IF(OR(B43="",D43=""),"",IFERROR(IF(AND(D43&gt;=INDEX(Bolos!$D:$D,MATCH(B43,Bolos!$A:$A,0)),D43&lt;=INDEX(Bolos!$E:$E,MATCH(B43,Bolos!$A:$A,0))),"OK","Fora do limite"),""))</f>
        <v/>
      </c>
      <c r="K43" s="14"/>
      <c r="L43" s="13" t="str">
        <f aca="false">IF(K43="","",ROUND(K43*(1-'Como usar'!$B$26),2))</f>
        <v/>
      </c>
      <c r="M43" s="5" t="str">
        <f aca="false">IF(B43="","",IF(AND(G43="Inativo",IFERROR(INDEX(Bolos!$O:$O,MATCH(B43,Bolos!$A:$A,0)),"")="Sim",K43&lt;&gt;""),"Sim","Não"))</f>
        <v/>
      </c>
      <c r="N43" s="14"/>
    </row>
    <row r="44" customFormat="false" ht="15" hidden="false" customHeight="true" outlineLevel="0" collapsed="false">
      <c r="E44" s="5" t="str">
        <f aca="false">IF(B44="","",IFERROR(INDEX(Bolos!$B:$B,MATCH(B44,Bolos!$A:$A,0))&amp;IF(C44="",""," — "&amp;C44)&amp;" — "&amp;D44&amp;" andares",""))</f>
        <v/>
      </c>
      <c r="F44" s="14"/>
      <c r="G44" s="5" t="str">
        <f aca="false">IF(B44="","",IFERROR(INDEX(Bolos!$J:$J,MATCH(B44,Bolos!$A:$A,0)),"Código não encontrado"))</f>
        <v/>
      </c>
      <c r="H44" s="5" t="str">
        <f aca="false">IF(B44="","",IF(G44="Disponível","Sim","Não"))</f>
        <v/>
      </c>
      <c r="I44" s="5" t="str">
        <f aca="false">IF(OR(B44="",D44=""),"",IFERROR(IF(AND(D44&gt;=INDEX(Bolos!$D:$D,MATCH(B44,Bolos!$A:$A,0)),D44&lt;=INDEX(Bolos!$E:$E,MATCH(B44,Bolos!$A:$A,0))),"OK","Fora do limite"),""))</f>
        <v/>
      </c>
      <c r="K44" s="14"/>
      <c r="L44" s="13" t="str">
        <f aca="false">IF(K44="","",ROUND(K44*(1-'Como usar'!$B$26),2))</f>
        <v/>
      </c>
      <c r="M44" s="5" t="str">
        <f aca="false">IF(B44="","",IF(AND(G44="Inativo",IFERROR(INDEX(Bolos!$O:$O,MATCH(B44,Bolos!$A:$A,0)),"")="Sim",K44&lt;&gt;""),"Sim","Não"))</f>
        <v/>
      </c>
      <c r="N44" s="14"/>
    </row>
    <row r="45" customFormat="false" ht="15" hidden="false" customHeight="true" outlineLevel="0" collapsed="false">
      <c r="E45" s="5" t="str">
        <f aca="false">IF(B45="","",IFERROR(INDEX(Bolos!$B:$B,MATCH(B45,Bolos!$A:$A,0))&amp;IF(C45="",""," — "&amp;C45)&amp;" — "&amp;D45&amp;" andares",""))</f>
        <v/>
      </c>
      <c r="F45" s="14"/>
      <c r="G45" s="5" t="str">
        <f aca="false">IF(B45="","",IFERROR(INDEX(Bolos!$J:$J,MATCH(B45,Bolos!$A:$A,0)),"Código não encontrado"))</f>
        <v/>
      </c>
      <c r="H45" s="5" t="str">
        <f aca="false">IF(B45="","",IF(G45="Disponível","Sim","Não"))</f>
        <v/>
      </c>
      <c r="I45" s="5" t="str">
        <f aca="false">IF(OR(B45="",D45=""),"",IFERROR(IF(AND(D45&gt;=INDEX(Bolos!$D:$D,MATCH(B45,Bolos!$A:$A,0)),D45&lt;=INDEX(Bolos!$E:$E,MATCH(B45,Bolos!$A:$A,0))),"OK","Fora do limite"),""))</f>
        <v/>
      </c>
      <c r="K45" s="14"/>
      <c r="L45" s="13" t="str">
        <f aca="false">IF(K45="","",ROUND(K45*(1-'Como usar'!$B$26),2))</f>
        <v/>
      </c>
      <c r="M45" s="5" t="str">
        <f aca="false">IF(B45="","",IF(AND(G45="Inativo",IFERROR(INDEX(Bolos!$O:$O,MATCH(B45,Bolos!$A:$A,0)),"")="Sim",K45&lt;&gt;""),"Sim","Não"))</f>
        <v/>
      </c>
      <c r="N45" s="14"/>
    </row>
    <row r="46" customFormat="false" ht="15" hidden="false" customHeight="true" outlineLevel="0" collapsed="false">
      <c r="E46" s="5" t="str">
        <f aca="false">IF(B46="","",IFERROR(INDEX(Bolos!$B:$B,MATCH(B46,Bolos!$A:$A,0))&amp;IF(C46="",""," — "&amp;C46)&amp;" — "&amp;D46&amp;" andares",""))</f>
        <v/>
      </c>
      <c r="F46" s="14"/>
      <c r="G46" s="5" t="str">
        <f aca="false">IF(B46="","",IFERROR(INDEX(Bolos!$J:$J,MATCH(B46,Bolos!$A:$A,0)),"Código não encontrado"))</f>
        <v/>
      </c>
      <c r="H46" s="5" t="str">
        <f aca="false">IF(B46="","",IF(G46="Disponível","Sim","Não"))</f>
        <v/>
      </c>
      <c r="I46" s="5" t="str">
        <f aca="false">IF(OR(B46="",D46=""),"",IFERROR(IF(AND(D46&gt;=INDEX(Bolos!$D:$D,MATCH(B46,Bolos!$A:$A,0)),D46&lt;=INDEX(Bolos!$E:$E,MATCH(B46,Bolos!$A:$A,0))),"OK","Fora do limite"),""))</f>
        <v/>
      </c>
      <c r="K46" s="14"/>
      <c r="L46" s="13" t="str">
        <f aca="false">IF(K46="","",ROUND(K46*(1-'Como usar'!$B$26),2))</f>
        <v/>
      </c>
      <c r="M46" s="5" t="str">
        <f aca="false">IF(B46="","",IF(AND(G46="Inativo",IFERROR(INDEX(Bolos!$O:$O,MATCH(B46,Bolos!$A:$A,0)),"")="Sim",K46&lt;&gt;""),"Sim","Não"))</f>
        <v/>
      </c>
      <c r="N46" s="14"/>
    </row>
    <row r="47" customFormat="false" ht="15" hidden="false" customHeight="true" outlineLevel="0" collapsed="false">
      <c r="E47" s="5" t="str">
        <f aca="false">IF(B47="","",IFERROR(INDEX(Bolos!$B:$B,MATCH(B47,Bolos!$A:$A,0))&amp;IF(C47="",""," — "&amp;C47)&amp;" — "&amp;D47&amp;" andares",""))</f>
        <v/>
      </c>
      <c r="F47" s="14"/>
      <c r="G47" s="5" t="str">
        <f aca="false">IF(B47="","",IFERROR(INDEX(Bolos!$J:$J,MATCH(B47,Bolos!$A:$A,0)),"Código não encontrado"))</f>
        <v/>
      </c>
      <c r="H47" s="5" t="str">
        <f aca="false">IF(B47="","",IF(G47="Disponível","Sim","Não"))</f>
        <v/>
      </c>
      <c r="I47" s="5" t="str">
        <f aca="false">IF(OR(B47="",D47=""),"",IFERROR(IF(AND(D47&gt;=INDEX(Bolos!$D:$D,MATCH(B47,Bolos!$A:$A,0)),D47&lt;=INDEX(Bolos!$E:$E,MATCH(B47,Bolos!$A:$A,0))),"OK","Fora do limite"),""))</f>
        <v/>
      </c>
      <c r="K47" s="14"/>
      <c r="L47" s="13" t="str">
        <f aca="false">IF(K47="","",ROUND(K47*(1-'Como usar'!$B$26),2))</f>
        <v/>
      </c>
      <c r="M47" s="5" t="str">
        <f aca="false">IF(B47="","",IF(AND(G47="Inativo",IFERROR(INDEX(Bolos!$O:$O,MATCH(B47,Bolos!$A:$A,0)),"")="Sim",K47&lt;&gt;""),"Sim","Não"))</f>
        <v/>
      </c>
      <c r="N47" s="14"/>
    </row>
    <row r="48" customFormat="false" ht="15" hidden="false" customHeight="true" outlineLevel="0" collapsed="false">
      <c r="E48" s="5" t="str">
        <f aca="false">IF(B48="","",IFERROR(INDEX(Bolos!$B:$B,MATCH(B48,Bolos!$A:$A,0))&amp;IF(C48="",""," — "&amp;C48)&amp;" — "&amp;D48&amp;" andares",""))</f>
        <v/>
      </c>
      <c r="F48" s="14"/>
      <c r="G48" s="5" t="str">
        <f aca="false">IF(B48="","",IFERROR(INDEX(Bolos!$J:$J,MATCH(B48,Bolos!$A:$A,0)),"Código não encontrado"))</f>
        <v/>
      </c>
      <c r="H48" s="5" t="str">
        <f aca="false">IF(B48="","",IF(G48="Disponível","Sim","Não"))</f>
        <v/>
      </c>
      <c r="I48" s="5" t="str">
        <f aca="false">IF(OR(B48="",D48=""),"",IFERROR(IF(AND(D48&gt;=INDEX(Bolos!$D:$D,MATCH(B48,Bolos!$A:$A,0)),D48&lt;=INDEX(Bolos!$E:$E,MATCH(B48,Bolos!$A:$A,0))),"OK","Fora do limite"),""))</f>
        <v/>
      </c>
      <c r="K48" s="14"/>
      <c r="L48" s="13" t="str">
        <f aca="false">IF(K48="","",ROUND(K48*(1-'Como usar'!$B$26),2))</f>
        <v/>
      </c>
      <c r="M48" s="5" t="str">
        <f aca="false">IF(B48="","",IF(AND(G48="Inativo",IFERROR(INDEX(Bolos!$O:$O,MATCH(B48,Bolos!$A:$A,0)),"")="Sim",K48&lt;&gt;""),"Sim","Não"))</f>
        <v/>
      </c>
      <c r="N48" s="14"/>
    </row>
    <row r="49" customFormat="false" ht="15" hidden="false" customHeight="true" outlineLevel="0" collapsed="false">
      <c r="E49" s="5" t="str">
        <f aca="false">IF(B49="","",IFERROR(INDEX(Bolos!$B:$B,MATCH(B49,Bolos!$A:$A,0))&amp;IF(C49="",""," — "&amp;C49)&amp;" — "&amp;D49&amp;" andares",""))</f>
        <v/>
      </c>
      <c r="F49" s="14"/>
      <c r="G49" s="5" t="str">
        <f aca="false">IF(B49="","",IFERROR(INDEX(Bolos!$J:$J,MATCH(B49,Bolos!$A:$A,0)),"Código não encontrado"))</f>
        <v/>
      </c>
      <c r="H49" s="5" t="str">
        <f aca="false">IF(B49="","",IF(G49="Disponível","Sim","Não"))</f>
        <v/>
      </c>
      <c r="I49" s="5" t="str">
        <f aca="false">IF(OR(B49="",D49=""),"",IFERROR(IF(AND(D49&gt;=INDEX(Bolos!$D:$D,MATCH(B49,Bolos!$A:$A,0)),D49&lt;=INDEX(Bolos!$E:$E,MATCH(B49,Bolos!$A:$A,0))),"OK","Fora do limite"),""))</f>
        <v/>
      </c>
      <c r="K49" s="14"/>
      <c r="L49" s="13" t="str">
        <f aca="false">IF(K49="","",ROUND(K49*(1-'Como usar'!$B$26),2))</f>
        <v/>
      </c>
      <c r="M49" s="5" t="str">
        <f aca="false">IF(B49="","",IF(AND(G49="Inativo",IFERROR(INDEX(Bolos!$O:$O,MATCH(B49,Bolos!$A:$A,0)),"")="Sim",K49&lt;&gt;""),"Sim","Não"))</f>
        <v/>
      </c>
      <c r="N49" s="14"/>
    </row>
    <row r="50" customFormat="false" ht="15" hidden="false" customHeight="true" outlineLevel="0" collapsed="false">
      <c r="E50" s="5" t="str">
        <f aca="false">IF(B50="","",IFERROR(INDEX(Bolos!$B:$B,MATCH(B50,Bolos!$A:$A,0))&amp;IF(C50="",""," — "&amp;C50)&amp;" — "&amp;D50&amp;" andares",""))</f>
        <v/>
      </c>
      <c r="F50" s="14"/>
      <c r="G50" s="5" t="str">
        <f aca="false">IF(B50="","",IFERROR(INDEX(Bolos!$J:$J,MATCH(B50,Bolos!$A:$A,0)),"Código não encontrado"))</f>
        <v/>
      </c>
      <c r="H50" s="5" t="str">
        <f aca="false">IF(B50="","",IF(G50="Disponível","Sim","Não"))</f>
        <v/>
      </c>
      <c r="I50" s="5" t="str">
        <f aca="false">IF(OR(B50="",D50=""),"",IFERROR(IF(AND(D50&gt;=INDEX(Bolos!$D:$D,MATCH(B50,Bolos!$A:$A,0)),D50&lt;=INDEX(Bolos!$E:$E,MATCH(B50,Bolos!$A:$A,0))),"OK","Fora do limite"),""))</f>
        <v/>
      </c>
      <c r="K50" s="14"/>
      <c r="L50" s="13" t="str">
        <f aca="false">IF(K50="","",ROUND(K50*(1-'Como usar'!$B$26),2))</f>
        <v/>
      </c>
      <c r="M50" s="5" t="str">
        <f aca="false">IF(B50="","",IF(AND(G50="Inativo",IFERROR(INDEX(Bolos!$O:$O,MATCH(B50,Bolos!$A:$A,0)),"")="Sim",K50&lt;&gt;""),"Sim","Não"))</f>
        <v/>
      </c>
      <c r="N50" s="14"/>
    </row>
    <row r="51" customFormat="false" ht="15" hidden="false" customHeight="true" outlineLevel="0" collapsed="false">
      <c r="E51" s="5" t="str">
        <f aca="false">IF(B51="","",IFERROR(INDEX(Bolos!$B:$B,MATCH(B51,Bolos!$A:$A,0))&amp;IF(C51="",""," — "&amp;C51)&amp;" — "&amp;D51&amp;" andares",""))</f>
        <v/>
      </c>
      <c r="F51" s="14"/>
      <c r="G51" s="5" t="str">
        <f aca="false">IF(B51="","",IFERROR(INDEX(Bolos!$J:$J,MATCH(B51,Bolos!$A:$A,0)),"Código não encontrado"))</f>
        <v/>
      </c>
      <c r="H51" s="5" t="str">
        <f aca="false">IF(B51="","",IF(G51="Disponível","Sim","Não"))</f>
        <v/>
      </c>
      <c r="I51" s="5" t="str">
        <f aca="false">IF(OR(B51="",D51=""),"",IFERROR(IF(AND(D51&gt;=INDEX(Bolos!$D:$D,MATCH(B51,Bolos!$A:$A,0)),D51&lt;=INDEX(Bolos!$E:$E,MATCH(B51,Bolos!$A:$A,0))),"OK","Fora do limite"),""))</f>
        <v/>
      </c>
      <c r="K51" s="14"/>
      <c r="L51" s="13" t="str">
        <f aca="false">IF(K51="","",ROUND(K51*(1-'Como usar'!$B$26),2))</f>
        <v/>
      </c>
      <c r="M51" s="5" t="str">
        <f aca="false">IF(B51="","",IF(AND(G51="Inativo",IFERROR(INDEX(Bolos!$O:$O,MATCH(B51,Bolos!$A:$A,0)),"")="Sim",K51&lt;&gt;""),"Sim","Não"))</f>
        <v/>
      </c>
      <c r="N51" s="14"/>
    </row>
    <row r="52" customFormat="false" ht="15" hidden="false" customHeight="true" outlineLevel="0" collapsed="false">
      <c r="E52" s="5" t="str">
        <f aca="false">IF(B52="","",IFERROR(INDEX(Bolos!$B:$B,MATCH(B52,Bolos!$A:$A,0))&amp;IF(C52="",""," — "&amp;C52)&amp;" — "&amp;D52&amp;" andares",""))</f>
        <v/>
      </c>
      <c r="F52" s="14"/>
      <c r="G52" s="5" t="str">
        <f aca="false">IF(B52="","",IFERROR(INDEX(Bolos!$J:$J,MATCH(B52,Bolos!$A:$A,0)),"Código não encontrado"))</f>
        <v/>
      </c>
      <c r="H52" s="5" t="str">
        <f aca="false">IF(B52="","",IF(G52="Disponível","Sim","Não"))</f>
        <v/>
      </c>
      <c r="I52" s="5" t="str">
        <f aca="false">IF(OR(B52="",D52=""),"",IFERROR(IF(AND(D52&gt;=INDEX(Bolos!$D:$D,MATCH(B52,Bolos!$A:$A,0)),D52&lt;=INDEX(Bolos!$E:$E,MATCH(B52,Bolos!$A:$A,0))),"OK","Fora do limite"),""))</f>
        <v/>
      </c>
      <c r="K52" s="14"/>
      <c r="L52" s="13" t="str">
        <f aca="false">IF(K52="","",ROUND(K52*(1-'Como usar'!$B$26),2))</f>
        <v/>
      </c>
      <c r="M52" s="5" t="str">
        <f aca="false">IF(B52="","",IF(AND(G52="Inativo",IFERROR(INDEX(Bolos!$O:$O,MATCH(B52,Bolos!$A:$A,0)),"")="Sim",K52&lt;&gt;""),"Sim","Não"))</f>
        <v/>
      </c>
      <c r="N52" s="14"/>
    </row>
    <row r="53" customFormat="false" ht="15" hidden="false" customHeight="true" outlineLevel="0" collapsed="false">
      <c r="E53" s="5" t="str">
        <f aca="false">IF(B53="","",IFERROR(INDEX(Bolos!$B:$B,MATCH(B53,Bolos!$A:$A,0))&amp;IF(C53="",""," — "&amp;C53)&amp;" — "&amp;D53&amp;" andares",""))</f>
        <v/>
      </c>
      <c r="F53" s="14"/>
      <c r="G53" s="5" t="str">
        <f aca="false">IF(B53="","",IFERROR(INDEX(Bolos!$J:$J,MATCH(B53,Bolos!$A:$A,0)),"Código não encontrado"))</f>
        <v/>
      </c>
      <c r="H53" s="5" t="str">
        <f aca="false">IF(B53="","",IF(G53="Disponível","Sim","Não"))</f>
        <v/>
      </c>
      <c r="I53" s="5" t="str">
        <f aca="false">IF(OR(B53="",D53=""),"",IFERROR(IF(AND(D53&gt;=INDEX(Bolos!$D:$D,MATCH(B53,Bolos!$A:$A,0)),D53&lt;=INDEX(Bolos!$E:$E,MATCH(B53,Bolos!$A:$A,0))),"OK","Fora do limite"),""))</f>
        <v/>
      </c>
      <c r="K53" s="14"/>
      <c r="L53" s="13" t="str">
        <f aca="false">IF(K53="","",ROUND(K53*(1-'Como usar'!$B$26),2))</f>
        <v/>
      </c>
      <c r="M53" s="5" t="str">
        <f aca="false">IF(B53="","",IF(AND(G53="Inativo",IFERROR(INDEX(Bolos!$O:$O,MATCH(B53,Bolos!$A:$A,0)),"")="Sim",K53&lt;&gt;""),"Sim","Não"))</f>
        <v/>
      </c>
      <c r="N53" s="14"/>
    </row>
    <row r="54" customFormat="false" ht="15" hidden="false" customHeight="true" outlineLevel="0" collapsed="false">
      <c r="E54" s="5" t="str">
        <f aca="false">IF(B54="","",IFERROR(INDEX(Bolos!$B:$B,MATCH(B54,Bolos!$A:$A,0))&amp;IF(C54="",""," — "&amp;C54)&amp;" — "&amp;D54&amp;" andares",""))</f>
        <v/>
      </c>
      <c r="F54" s="14"/>
      <c r="G54" s="5" t="str">
        <f aca="false">IF(B54="","",IFERROR(INDEX(Bolos!$J:$J,MATCH(B54,Bolos!$A:$A,0)),"Código não encontrado"))</f>
        <v/>
      </c>
      <c r="H54" s="5" t="str">
        <f aca="false">IF(B54="","",IF(G54="Disponível","Sim","Não"))</f>
        <v/>
      </c>
      <c r="I54" s="5" t="str">
        <f aca="false">IF(OR(B54="",D54=""),"",IFERROR(IF(AND(D54&gt;=INDEX(Bolos!$D:$D,MATCH(B54,Bolos!$A:$A,0)),D54&lt;=INDEX(Bolos!$E:$E,MATCH(B54,Bolos!$A:$A,0))),"OK","Fora do limite"),""))</f>
        <v/>
      </c>
      <c r="K54" s="14"/>
      <c r="L54" s="13" t="str">
        <f aca="false">IF(K54="","",ROUND(K54*(1-'Como usar'!$B$26),2))</f>
        <v/>
      </c>
      <c r="M54" s="5" t="str">
        <f aca="false">IF(B54="","",IF(AND(G54="Inativo",IFERROR(INDEX(Bolos!$O:$O,MATCH(B54,Bolos!$A:$A,0)),"")="Sim",K54&lt;&gt;""),"Sim","Não"))</f>
        <v/>
      </c>
      <c r="N54" s="14"/>
    </row>
    <row r="55" customFormat="false" ht="15" hidden="false" customHeight="true" outlineLevel="0" collapsed="false">
      <c r="E55" s="5" t="str">
        <f aca="false">IF(B55="","",IFERROR(INDEX(Bolos!$B:$B,MATCH(B55,Bolos!$A:$A,0))&amp;IF(C55="",""," — "&amp;C55)&amp;" — "&amp;D55&amp;" andares",""))</f>
        <v/>
      </c>
      <c r="F55" s="14"/>
      <c r="G55" s="5" t="str">
        <f aca="false">IF(B55="","",IFERROR(INDEX(Bolos!$J:$J,MATCH(B55,Bolos!$A:$A,0)),"Código não encontrado"))</f>
        <v/>
      </c>
      <c r="H55" s="5" t="str">
        <f aca="false">IF(B55="","",IF(G55="Disponível","Sim","Não"))</f>
        <v/>
      </c>
      <c r="I55" s="5" t="str">
        <f aca="false">IF(OR(B55="",D55=""),"",IFERROR(IF(AND(D55&gt;=INDEX(Bolos!$D:$D,MATCH(B55,Bolos!$A:$A,0)),D55&lt;=INDEX(Bolos!$E:$E,MATCH(B55,Bolos!$A:$A,0))),"OK","Fora do limite"),""))</f>
        <v/>
      </c>
      <c r="K55" s="14"/>
      <c r="L55" s="13" t="str">
        <f aca="false">IF(K55="","",ROUND(K55*(1-'Como usar'!$B$26),2))</f>
        <v/>
      </c>
      <c r="M55" s="5" t="str">
        <f aca="false">IF(B55="","",IF(AND(G55="Inativo",IFERROR(INDEX(Bolos!$O:$O,MATCH(B55,Bolos!$A:$A,0)),"")="Sim",K55&lt;&gt;""),"Sim","Não"))</f>
        <v/>
      </c>
      <c r="N55" s="14"/>
    </row>
    <row r="56" customFormat="false" ht="15" hidden="false" customHeight="true" outlineLevel="0" collapsed="false">
      <c r="E56" s="5" t="str">
        <f aca="false">IF(B56="","",IFERROR(INDEX(Bolos!$B:$B,MATCH(B56,Bolos!$A:$A,0))&amp;IF(C56="",""," — "&amp;C56)&amp;" — "&amp;D56&amp;" andares",""))</f>
        <v/>
      </c>
      <c r="F56" s="14"/>
      <c r="G56" s="5" t="str">
        <f aca="false">IF(B56="","",IFERROR(INDEX(Bolos!$J:$J,MATCH(B56,Bolos!$A:$A,0)),"Código não encontrado"))</f>
        <v/>
      </c>
      <c r="H56" s="5" t="str">
        <f aca="false">IF(B56="","",IF(G56="Disponível","Sim","Não"))</f>
        <v/>
      </c>
      <c r="I56" s="5" t="str">
        <f aca="false">IF(OR(B56="",D56=""),"",IFERROR(IF(AND(D56&gt;=INDEX(Bolos!$D:$D,MATCH(B56,Bolos!$A:$A,0)),D56&lt;=INDEX(Bolos!$E:$E,MATCH(B56,Bolos!$A:$A,0))),"OK","Fora do limite"),""))</f>
        <v/>
      </c>
      <c r="K56" s="14"/>
      <c r="L56" s="13" t="str">
        <f aca="false">IF(K56="","",ROUND(K56*(1-'Como usar'!$B$26),2))</f>
        <v/>
      </c>
      <c r="M56" s="5" t="str">
        <f aca="false">IF(B56="","",IF(AND(G56="Inativo",IFERROR(INDEX(Bolos!$O:$O,MATCH(B56,Bolos!$A:$A,0)),"")="Sim",K56&lt;&gt;""),"Sim","Não"))</f>
        <v/>
      </c>
      <c r="N56" s="14"/>
    </row>
    <row r="57" customFormat="false" ht="15" hidden="false" customHeight="true" outlineLevel="0" collapsed="false">
      <c r="E57" s="5" t="str">
        <f aca="false">IF(B57="","",IFERROR(INDEX(Bolos!$B:$B,MATCH(B57,Bolos!$A:$A,0))&amp;IF(C57="",""," — "&amp;C57)&amp;" — "&amp;D57&amp;" andares",""))</f>
        <v/>
      </c>
      <c r="F57" s="14"/>
      <c r="G57" s="5" t="str">
        <f aca="false">IF(B57="","",IFERROR(INDEX(Bolos!$J:$J,MATCH(B57,Bolos!$A:$A,0)),"Código não encontrado"))</f>
        <v/>
      </c>
      <c r="H57" s="5" t="str">
        <f aca="false">IF(B57="","",IF(G57="Disponível","Sim","Não"))</f>
        <v/>
      </c>
      <c r="I57" s="5" t="str">
        <f aca="false">IF(OR(B57="",D57=""),"",IFERROR(IF(AND(D57&gt;=INDEX(Bolos!$D:$D,MATCH(B57,Bolos!$A:$A,0)),D57&lt;=INDEX(Bolos!$E:$E,MATCH(B57,Bolos!$A:$A,0))),"OK","Fora do limite"),""))</f>
        <v/>
      </c>
      <c r="K57" s="14"/>
      <c r="L57" s="13" t="str">
        <f aca="false">IF(K57="","",ROUND(K57*(1-'Como usar'!$B$26),2))</f>
        <v/>
      </c>
      <c r="M57" s="5" t="str">
        <f aca="false">IF(B57="","",IF(AND(G57="Inativo",IFERROR(INDEX(Bolos!$O:$O,MATCH(B57,Bolos!$A:$A,0)),"")="Sim",K57&lt;&gt;""),"Sim","Não"))</f>
        <v/>
      </c>
      <c r="N57" s="14"/>
    </row>
    <row r="58" customFormat="false" ht="15" hidden="false" customHeight="true" outlineLevel="0" collapsed="false">
      <c r="E58" s="5" t="str">
        <f aca="false">IF(B58="","",IFERROR(INDEX(Bolos!$B:$B,MATCH(B58,Bolos!$A:$A,0))&amp;IF(C58="",""," — "&amp;C58)&amp;" — "&amp;D58&amp;" andares",""))</f>
        <v/>
      </c>
      <c r="F58" s="14"/>
      <c r="G58" s="5" t="str">
        <f aca="false">IF(B58="","",IFERROR(INDEX(Bolos!$J:$J,MATCH(B58,Bolos!$A:$A,0)),"Código não encontrado"))</f>
        <v/>
      </c>
      <c r="H58" s="5" t="str">
        <f aca="false">IF(B58="","",IF(G58="Disponível","Sim","Não"))</f>
        <v/>
      </c>
      <c r="I58" s="5" t="str">
        <f aca="false">IF(OR(B58="",D58=""),"",IFERROR(IF(AND(D58&gt;=INDEX(Bolos!$D:$D,MATCH(B58,Bolos!$A:$A,0)),D58&lt;=INDEX(Bolos!$E:$E,MATCH(B58,Bolos!$A:$A,0))),"OK","Fora do limite"),""))</f>
        <v/>
      </c>
      <c r="K58" s="14"/>
      <c r="L58" s="13" t="str">
        <f aca="false">IF(K58="","",ROUND(K58*(1-'Como usar'!$B$26),2))</f>
        <v/>
      </c>
      <c r="M58" s="5" t="str">
        <f aca="false">IF(B58="","",IF(AND(G58="Inativo",IFERROR(INDEX(Bolos!$O:$O,MATCH(B58,Bolos!$A:$A,0)),"")="Sim",K58&lt;&gt;""),"Sim","Não"))</f>
        <v/>
      </c>
      <c r="N58" s="14"/>
    </row>
    <row r="59" customFormat="false" ht="15" hidden="false" customHeight="true" outlineLevel="0" collapsed="false">
      <c r="E59" s="5" t="str">
        <f aca="false">IF(B59="","",IFERROR(INDEX(Bolos!$B:$B,MATCH(B59,Bolos!$A:$A,0))&amp;IF(C59="",""," — "&amp;C59)&amp;" — "&amp;D59&amp;" andares",""))</f>
        <v/>
      </c>
      <c r="F59" s="14"/>
      <c r="G59" s="5" t="str">
        <f aca="false">IF(B59="","",IFERROR(INDEX(Bolos!$J:$J,MATCH(B59,Bolos!$A:$A,0)),"Código não encontrado"))</f>
        <v/>
      </c>
      <c r="H59" s="5" t="str">
        <f aca="false">IF(B59="","",IF(G59="Disponível","Sim","Não"))</f>
        <v/>
      </c>
      <c r="I59" s="5" t="str">
        <f aca="false">IF(OR(B59="",D59=""),"",IFERROR(IF(AND(D59&gt;=INDEX(Bolos!$D:$D,MATCH(B59,Bolos!$A:$A,0)),D59&lt;=INDEX(Bolos!$E:$E,MATCH(B59,Bolos!$A:$A,0))),"OK","Fora do limite"),""))</f>
        <v/>
      </c>
      <c r="K59" s="14"/>
      <c r="L59" s="13" t="str">
        <f aca="false">IF(K59="","",ROUND(K59*(1-'Como usar'!$B$26),2))</f>
        <v/>
      </c>
      <c r="M59" s="5" t="str">
        <f aca="false">IF(B59="","",IF(AND(G59="Inativo",IFERROR(INDEX(Bolos!$O:$O,MATCH(B59,Bolos!$A:$A,0)),"")="Sim",K59&lt;&gt;""),"Sim","Não"))</f>
        <v/>
      </c>
      <c r="N59" s="14"/>
    </row>
    <row r="60" customFormat="false" ht="15" hidden="false" customHeight="true" outlineLevel="0" collapsed="false">
      <c r="E60" s="5" t="str">
        <f aca="false">IF(B60="","",IFERROR(INDEX(Bolos!$B:$B,MATCH(B60,Bolos!$A:$A,0))&amp;IF(C60="",""," — "&amp;C60)&amp;" — "&amp;D60&amp;" andares",""))</f>
        <v/>
      </c>
      <c r="F60" s="14"/>
      <c r="G60" s="5" t="str">
        <f aca="false">IF(B60="","",IFERROR(INDEX(Bolos!$J:$J,MATCH(B60,Bolos!$A:$A,0)),"Código não encontrado"))</f>
        <v/>
      </c>
      <c r="H60" s="5" t="str">
        <f aca="false">IF(B60="","",IF(G60="Disponível","Sim","Não"))</f>
        <v/>
      </c>
      <c r="I60" s="5" t="str">
        <f aca="false">IF(OR(B60="",D60=""),"",IFERROR(IF(AND(D60&gt;=INDEX(Bolos!$D:$D,MATCH(B60,Bolos!$A:$A,0)),D60&lt;=INDEX(Bolos!$E:$E,MATCH(B60,Bolos!$A:$A,0))),"OK","Fora do limite"),""))</f>
        <v/>
      </c>
      <c r="K60" s="14"/>
      <c r="L60" s="13" t="str">
        <f aca="false">IF(K60="","",ROUND(K60*(1-'Como usar'!$B$26),2))</f>
        <v/>
      </c>
      <c r="M60" s="5" t="str">
        <f aca="false">IF(B60="","",IF(AND(G60="Inativo",IFERROR(INDEX(Bolos!$O:$O,MATCH(B60,Bolos!$A:$A,0)),"")="Sim",K60&lt;&gt;""),"Sim","Não"))</f>
        <v/>
      </c>
      <c r="N60" s="14"/>
    </row>
    <row r="61" customFormat="false" ht="15" hidden="false" customHeight="true" outlineLevel="0" collapsed="false">
      <c r="E61" s="5" t="str">
        <f aca="false">IF(B61="","",IFERROR(INDEX(Bolos!$B:$B,MATCH(B61,Bolos!$A:$A,0))&amp;IF(C61="",""," — "&amp;C61)&amp;" — "&amp;D61&amp;" andares",""))</f>
        <v/>
      </c>
      <c r="F61" s="14"/>
      <c r="G61" s="5" t="str">
        <f aca="false">IF(B61="","",IFERROR(INDEX(Bolos!$J:$J,MATCH(B61,Bolos!$A:$A,0)),"Código não encontrado"))</f>
        <v/>
      </c>
      <c r="H61" s="5" t="str">
        <f aca="false">IF(B61="","",IF(G61="Disponível","Sim","Não"))</f>
        <v/>
      </c>
      <c r="I61" s="5" t="str">
        <f aca="false">IF(OR(B61="",D61=""),"",IFERROR(IF(AND(D61&gt;=INDEX(Bolos!$D:$D,MATCH(B61,Bolos!$A:$A,0)),D61&lt;=INDEX(Bolos!$E:$E,MATCH(B61,Bolos!$A:$A,0))),"OK","Fora do limite"),""))</f>
        <v/>
      </c>
      <c r="K61" s="14"/>
      <c r="L61" s="13" t="str">
        <f aca="false">IF(K61="","",ROUND(K61*(1-'Como usar'!$B$26),2))</f>
        <v/>
      </c>
      <c r="M61" s="5" t="str">
        <f aca="false">IF(B61="","",IF(AND(G61="Inativo",IFERROR(INDEX(Bolos!$O:$O,MATCH(B61,Bolos!$A:$A,0)),"")="Sim",K61&lt;&gt;""),"Sim","Não"))</f>
        <v/>
      </c>
      <c r="N61" s="14"/>
    </row>
    <row r="62" customFormat="false" ht="15" hidden="false" customHeight="true" outlineLevel="0" collapsed="false">
      <c r="E62" s="5" t="str">
        <f aca="false">IF(B62="","",IFERROR(INDEX(Bolos!$B:$B,MATCH(B62,Bolos!$A:$A,0))&amp;IF(C62="",""," — "&amp;C62)&amp;" — "&amp;D62&amp;" andares",""))</f>
        <v/>
      </c>
      <c r="F62" s="14"/>
      <c r="G62" s="5" t="str">
        <f aca="false">IF(B62="","",IFERROR(INDEX(Bolos!$J:$J,MATCH(B62,Bolos!$A:$A,0)),"Código não encontrado"))</f>
        <v/>
      </c>
      <c r="H62" s="5" t="str">
        <f aca="false">IF(B62="","",IF(G62="Disponível","Sim","Não"))</f>
        <v/>
      </c>
      <c r="I62" s="5" t="str">
        <f aca="false">IF(OR(B62="",D62=""),"",IFERROR(IF(AND(D62&gt;=INDEX(Bolos!$D:$D,MATCH(B62,Bolos!$A:$A,0)),D62&lt;=INDEX(Bolos!$E:$E,MATCH(B62,Bolos!$A:$A,0))),"OK","Fora do limite"),""))</f>
        <v/>
      </c>
      <c r="K62" s="14"/>
      <c r="L62" s="13" t="str">
        <f aca="false">IF(K62="","",ROUND(K62*(1-'Como usar'!$B$26),2))</f>
        <v/>
      </c>
      <c r="M62" s="5" t="str">
        <f aca="false">IF(B62="","",IF(AND(G62="Inativo",IFERROR(INDEX(Bolos!$O:$O,MATCH(B62,Bolos!$A:$A,0)),"")="Sim",K62&lt;&gt;""),"Sim","Não"))</f>
        <v/>
      </c>
      <c r="N62" s="14"/>
    </row>
    <row r="63" customFormat="false" ht="15" hidden="false" customHeight="true" outlineLevel="0" collapsed="false">
      <c r="E63" s="5" t="str">
        <f aca="false">IF(B63="","",IFERROR(INDEX(Bolos!$B:$B,MATCH(B63,Bolos!$A:$A,0))&amp;IF(C63="",""," — "&amp;C63)&amp;" — "&amp;D63&amp;" andares",""))</f>
        <v/>
      </c>
      <c r="F63" s="14"/>
      <c r="G63" s="5" t="str">
        <f aca="false">IF(B63="","",IFERROR(INDEX(Bolos!$J:$J,MATCH(B63,Bolos!$A:$A,0)),"Código não encontrado"))</f>
        <v/>
      </c>
      <c r="H63" s="5" t="str">
        <f aca="false">IF(B63="","",IF(G63="Disponível","Sim","Não"))</f>
        <v/>
      </c>
      <c r="I63" s="5" t="str">
        <f aca="false">IF(OR(B63="",D63=""),"",IFERROR(IF(AND(D63&gt;=INDEX(Bolos!$D:$D,MATCH(B63,Bolos!$A:$A,0)),D63&lt;=INDEX(Bolos!$E:$E,MATCH(B63,Bolos!$A:$A,0))),"OK","Fora do limite"),""))</f>
        <v/>
      </c>
      <c r="K63" s="14"/>
      <c r="L63" s="13" t="str">
        <f aca="false">IF(K63="","",ROUND(K63*(1-'Como usar'!$B$26),2))</f>
        <v/>
      </c>
      <c r="M63" s="5" t="str">
        <f aca="false">IF(B63="","",IF(AND(G63="Inativo",IFERROR(INDEX(Bolos!$O:$O,MATCH(B63,Bolos!$A:$A,0)),"")="Sim",K63&lt;&gt;""),"Sim","Não"))</f>
        <v/>
      </c>
      <c r="N63" s="14"/>
    </row>
    <row r="64" customFormat="false" ht="15" hidden="false" customHeight="true" outlineLevel="0" collapsed="false">
      <c r="E64" s="5" t="str">
        <f aca="false">IF(B64="","",IFERROR(INDEX(Bolos!$B:$B,MATCH(B64,Bolos!$A:$A,0))&amp;IF(C64="",""," — "&amp;C64)&amp;" — "&amp;D64&amp;" andares",""))</f>
        <v/>
      </c>
      <c r="F64" s="14"/>
      <c r="G64" s="5" t="str">
        <f aca="false">IF(B64="","",IFERROR(INDEX(Bolos!$J:$J,MATCH(B64,Bolos!$A:$A,0)),"Código não encontrado"))</f>
        <v/>
      </c>
      <c r="H64" s="5" t="str">
        <f aca="false">IF(B64="","",IF(G64="Disponível","Sim","Não"))</f>
        <v/>
      </c>
      <c r="I64" s="5" t="str">
        <f aca="false">IF(OR(B64="",D64=""),"",IFERROR(IF(AND(D64&gt;=INDEX(Bolos!$D:$D,MATCH(B64,Bolos!$A:$A,0)),D64&lt;=INDEX(Bolos!$E:$E,MATCH(B64,Bolos!$A:$A,0))),"OK","Fora do limite"),""))</f>
        <v/>
      </c>
      <c r="K64" s="14"/>
      <c r="L64" s="13" t="str">
        <f aca="false">IF(K64="","",ROUND(K64*(1-'Como usar'!$B$26),2))</f>
        <v/>
      </c>
      <c r="M64" s="5" t="str">
        <f aca="false">IF(B64="","",IF(AND(G64="Inativo",IFERROR(INDEX(Bolos!$O:$O,MATCH(B64,Bolos!$A:$A,0)),"")="Sim",K64&lt;&gt;""),"Sim","Não"))</f>
        <v/>
      </c>
      <c r="N64" s="14"/>
    </row>
    <row r="65" customFormat="false" ht="15" hidden="false" customHeight="true" outlineLevel="0" collapsed="false">
      <c r="E65" s="5" t="str">
        <f aca="false">IF(B65="","",IFERROR(INDEX(Bolos!$B:$B,MATCH(B65,Bolos!$A:$A,0))&amp;IF(C65="",""," — "&amp;C65)&amp;" — "&amp;D65&amp;" andares",""))</f>
        <v/>
      </c>
      <c r="F65" s="14"/>
      <c r="G65" s="5" t="str">
        <f aca="false">IF(B65="","",IFERROR(INDEX(Bolos!$J:$J,MATCH(B65,Bolos!$A:$A,0)),"Código não encontrado"))</f>
        <v/>
      </c>
      <c r="H65" s="5" t="str">
        <f aca="false">IF(B65="","",IF(G65="Disponível","Sim","Não"))</f>
        <v/>
      </c>
      <c r="I65" s="5" t="str">
        <f aca="false">IF(OR(B65="",D65=""),"",IFERROR(IF(AND(D65&gt;=INDEX(Bolos!$D:$D,MATCH(B65,Bolos!$A:$A,0)),D65&lt;=INDEX(Bolos!$E:$E,MATCH(B65,Bolos!$A:$A,0))),"OK","Fora do limite"),""))</f>
        <v/>
      </c>
      <c r="K65" s="14"/>
      <c r="L65" s="13" t="str">
        <f aca="false">IF(K65="","",ROUND(K65*(1-'Como usar'!$B$26),2))</f>
        <v/>
      </c>
      <c r="M65" s="5" t="str">
        <f aca="false">IF(B65="","",IF(AND(G65="Inativo",IFERROR(INDEX(Bolos!$O:$O,MATCH(B65,Bolos!$A:$A,0)),"")="Sim",K65&lt;&gt;""),"Sim","Não"))</f>
        <v/>
      </c>
      <c r="N65" s="14"/>
    </row>
    <row r="66" customFormat="false" ht="15" hidden="false" customHeight="true" outlineLevel="0" collapsed="false">
      <c r="E66" s="5" t="str">
        <f aca="false">IF(B66="","",IFERROR(INDEX(Bolos!$B:$B,MATCH(B66,Bolos!$A:$A,0))&amp;IF(C66="",""," — "&amp;C66)&amp;" — "&amp;D66&amp;" andares",""))</f>
        <v/>
      </c>
      <c r="F66" s="14"/>
      <c r="G66" s="5" t="str">
        <f aca="false">IF(B66="","",IFERROR(INDEX(Bolos!$J:$J,MATCH(B66,Bolos!$A:$A,0)),"Código não encontrado"))</f>
        <v/>
      </c>
      <c r="H66" s="5" t="str">
        <f aca="false">IF(B66="","",IF(G66="Disponível","Sim","Não"))</f>
        <v/>
      </c>
      <c r="I66" s="5" t="str">
        <f aca="false">IF(OR(B66="",D66=""),"",IFERROR(IF(AND(D66&gt;=INDEX(Bolos!$D:$D,MATCH(B66,Bolos!$A:$A,0)),D66&lt;=INDEX(Bolos!$E:$E,MATCH(B66,Bolos!$A:$A,0))),"OK","Fora do limite"),""))</f>
        <v/>
      </c>
      <c r="K66" s="14"/>
      <c r="L66" s="13" t="str">
        <f aca="false">IF(K66="","",ROUND(K66*(1-'Como usar'!$B$26),2))</f>
        <v/>
      </c>
      <c r="M66" s="5" t="str">
        <f aca="false">IF(B66="","",IF(AND(G66="Inativo",IFERROR(INDEX(Bolos!$O:$O,MATCH(B66,Bolos!$A:$A,0)),"")="Sim",K66&lt;&gt;""),"Sim","Não"))</f>
        <v/>
      </c>
      <c r="N66" s="14"/>
    </row>
    <row r="67" customFormat="false" ht="15" hidden="false" customHeight="true" outlineLevel="0" collapsed="false">
      <c r="E67" s="5" t="str">
        <f aca="false">IF(B67="","",IFERROR(INDEX(Bolos!$B:$B,MATCH(B67,Bolos!$A:$A,0))&amp;IF(C67="",""," — "&amp;C67)&amp;" — "&amp;D67&amp;" andares",""))</f>
        <v/>
      </c>
      <c r="F67" s="14"/>
      <c r="G67" s="5" t="str">
        <f aca="false">IF(B67="","",IFERROR(INDEX(Bolos!$J:$J,MATCH(B67,Bolos!$A:$A,0)),"Código não encontrado"))</f>
        <v/>
      </c>
      <c r="H67" s="5" t="str">
        <f aca="false">IF(B67="","",IF(G67="Disponível","Sim","Não"))</f>
        <v/>
      </c>
      <c r="I67" s="5" t="str">
        <f aca="false">IF(OR(B67="",D67=""),"",IFERROR(IF(AND(D67&gt;=INDEX(Bolos!$D:$D,MATCH(B67,Bolos!$A:$A,0)),D67&lt;=INDEX(Bolos!$E:$E,MATCH(B67,Bolos!$A:$A,0))),"OK","Fora do limite"),""))</f>
        <v/>
      </c>
      <c r="K67" s="14"/>
      <c r="L67" s="13" t="str">
        <f aca="false">IF(K67="","",ROUND(K67*(1-'Como usar'!$B$26),2))</f>
        <v/>
      </c>
      <c r="M67" s="5" t="str">
        <f aca="false">IF(B67="","",IF(AND(G67="Inativo",IFERROR(INDEX(Bolos!$O:$O,MATCH(B67,Bolos!$A:$A,0)),"")="Sim",K67&lt;&gt;""),"Sim","Não"))</f>
        <v/>
      </c>
      <c r="N67" s="14"/>
    </row>
    <row r="68" customFormat="false" ht="15" hidden="false" customHeight="true" outlineLevel="0" collapsed="false">
      <c r="E68" s="5" t="str">
        <f aca="false">IF(B68="","",IFERROR(INDEX(Bolos!$B:$B,MATCH(B68,Bolos!$A:$A,0))&amp;IF(C68="",""," — "&amp;C68)&amp;" — "&amp;D68&amp;" andares",""))</f>
        <v/>
      </c>
      <c r="F68" s="14"/>
      <c r="G68" s="5" t="str">
        <f aca="false">IF(B68="","",IFERROR(INDEX(Bolos!$J:$J,MATCH(B68,Bolos!$A:$A,0)),"Código não encontrado"))</f>
        <v/>
      </c>
      <c r="H68" s="5" t="str">
        <f aca="false">IF(B68="","",IF(G68="Disponível","Sim","Não"))</f>
        <v/>
      </c>
      <c r="I68" s="5" t="str">
        <f aca="false">IF(OR(B68="",D68=""),"",IFERROR(IF(AND(D68&gt;=INDEX(Bolos!$D:$D,MATCH(B68,Bolos!$A:$A,0)),D68&lt;=INDEX(Bolos!$E:$E,MATCH(B68,Bolos!$A:$A,0))),"OK","Fora do limite"),""))</f>
        <v/>
      </c>
      <c r="K68" s="14"/>
      <c r="L68" s="13" t="str">
        <f aca="false">IF(K68="","",ROUND(K68*(1-'Como usar'!$B$26),2))</f>
        <v/>
      </c>
      <c r="M68" s="5" t="str">
        <f aca="false">IF(B68="","",IF(AND(G68="Inativo",IFERROR(INDEX(Bolos!$O:$O,MATCH(B68,Bolos!$A:$A,0)),"")="Sim",K68&lt;&gt;""),"Sim","Não"))</f>
        <v/>
      </c>
      <c r="N68" s="14"/>
    </row>
    <row r="69" customFormat="false" ht="15" hidden="false" customHeight="true" outlineLevel="0" collapsed="false">
      <c r="E69" s="5" t="str">
        <f aca="false">IF(B69="","",IFERROR(INDEX(Bolos!$B:$B,MATCH(B69,Bolos!$A:$A,0))&amp;IF(C69="",""," — "&amp;C69)&amp;" — "&amp;D69&amp;" andares",""))</f>
        <v/>
      </c>
      <c r="F69" s="14"/>
      <c r="G69" s="5" t="str">
        <f aca="false">IF(B69="","",IFERROR(INDEX(Bolos!$J:$J,MATCH(B69,Bolos!$A:$A,0)),"Código não encontrado"))</f>
        <v/>
      </c>
      <c r="H69" s="5" t="str">
        <f aca="false">IF(B69="","",IF(G69="Disponível","Sim","Não"))</f>
        <v/>
      </c>
      <c r="I69" s="5" t="str">
        <f aca="false">IF(OR(B69="",D69=""),"",IFERROR(IF(AND(D69&gt;=INDEX(Bolos!$D:$D,MATCH(B69,Bolos!$A:$A,0)),D69&lt;=INDEX(Bolos!$E:$E,MATCH(B69,Bolos!$A:$A,0))),"OK","Fora do limite"),""))</f>
        <v/>
      </c>
      <c r="K69" s="14"/>
      <c r="L69" s="13" t="str">
        <f aca="false">IF(K69="","",ROUND(K69*(1-'Como usar'!$B$26),2))</f>
        <v/>
      </c>
      <c r="M69" s="5" t="str">
        <f aca="false">IF(B69="","",IF(AND(G69="Inativo",IFERROR(INDEX(Bolos!$O:$O,MATCH(B69,Bolos!$A:$A,0)),"")="Sim",K69&lt;&gt;""),"Sim","Não"))</f>
        <v/>
      </c>
      <c r="N69" s="14"/>
    </row>
    <row r="70" customFormat="false" ht="15" hidden="false" customHeight="true" outlineLevel="0" collapsed="false">
      <c r="E70" s="5" t="str">
        <f aca="false">IF(B70="","",IFERROR(INDEX(Bolos!$B:$B,MATCH(B70,Bolos!$A:$A,0))&amp;IF(C70="",""," — "&amp;C70)&amp;" — "&amp;D70&amp;" andares",""))</f>
        <v/>
      </c>
      <c r="F70" s="14"/>
      <c r="G70" s="5" t="str">
        <f aca="false">IF(B70="","",IFERROR(INDEX(Bolos!$J:$J,MATCH(B70,Bolos!$A:$A,0)),"Código não encontrado"))</f>
        <v/>
      </c>
      <c r="H70" s="5" t="str">
        <f aca="false">IF(B70="","",IF(G70="Disponível","Sim","Não"))</f>
        <v/>
      </c>
      <c r="I70" s="5" t="str">
        <f aca="false">IF(OR(B70="",D70=""),"",IFERROR(IF(AND(D70&gt;=INDEX(Bolos!$D:$D,MATCH(B70,Bolos!$A:$A,0)),D70&lt;=INDEX(Bolos!$E:$E,MATCH(B70,Bolos!$A:$A,0))),"OK","Fora do limite"),""))</f>
        <v/>
      </c>
      <c r="K70" s="14"/>
      <c r="L70" s="13" t="str">
        <f aca="false">IF(K70="","",ROUND(K70*(1-'Como usar'!$B$26),2))</f>
        <v/>
      </c>
      <c r="M70" s="5" t="str">
        <f aca="false">IF(B70="","",IF(AND(G70="Inativo",IFERROR(INDEX(Bolos!$O:$O,MATCH(B70,Bolos!$A:$A,0)),"")="Sim",K70&lt;&gt;""),"Sim","Não"))</f>
        <v/>
      </c>
      <c r="N70" s="14"/>
    </row>
    <row r="71" customFormat="false" ht="15" hidden="false" customHeight="true" outlineLevel="0" collapsed="false">
      <c r="E71" s="5" t="str">
        <f aca="false">IF(B71="","",IFERROR(INDEX(Bolos!$B:$B,MATCH(B71,Bolos!$A:$A,0))&amp;IF(C71="",""," — "&amp;C71)&amp;" — "&amp;D71&amp;" andares",""))</f>
        <v/>
      </c>
      <c r="F71" s="14"/>
      <c r="G71" s="5" t="str">
        <f aca="false">IF(B71="","",IFERROR(INDEX(Bolos!$J:$J,MATCH(B71,Bolos!$A:$A,0)),"Código não encontrado"))</f>
        <v/>
      </c>
      <c r="H71" s="5" t="str">
        <f aca="false">IF(B71="","",IF(G71="Disponível","Sim","Não"))</f>
        <v/>
      </c>
      <c r="I71" s="5" t="str">
        <f aca="false">IF(OR(B71="",D71=""),"",IFERROR(IF(AND(D71&gt;=INDEX(Bolos!$D:$D,MATCH(B71,Bolos!$A:$A,0)),D71&lt;=INDEX(Bolos!$E:$E,MATCH(B71,Bolos!$A:$A,0))),"OK","Fora do limite"),""))</f>
        <v/>
      </c>
      <c r="K71" s="14"/>
      <c r="L71" s="13" t="str">
        <f aca="false">IF(K71="","",ROUND(K71*(1-'Como usar'!$B$26),2))</f>
        <v/>
      </c>
      <c r="M71" s="5" t="str">
        <f aca="false">IF(B71="","",IF(AND(G71="Inativo",IFERROR(INDEX(Bolos!$O:$O,MATCH(B71,Bolos!$A:$A,0)),"")="Sim",K71&lt;&gt;""),"Sim","Não"))</f>
        <v/>
      </c>
      <c r="N71" s="14"/>
    </row>
    <row r="72" customFormat="false" ht="15" hidden="false" customHeight="true" outlineLevel="0" collapsed="false">
      <c r="E72" s="5" t="str">
        <f aca="false">IF(B72="","",IFERROR(INDEX(Bolos!$B:$B,MATCH(B72,Bolos!$A:$A,0))&amp;IF(C72="",""," — "&amp;C72)&amp;" — "&amp;D72&amp;" andares",""))</f>
        <v/>
      </c>
      <c r="F72" s="14"/>
      <c r="G72" s="5" t="str">
        <f aca="false">IF(B72="","",IFERROR(INDEX(Bolos!$J:$J,MATCH(B72,Bolos!$A:$A,0)),"Código não encontrado"))</f>
        <v/>
      </c>
      <c r="H72" s="5" t="str">
        <f aca="false">IF(B72="","",IF(G72="Disponível","Sim","Não"))</f>
        <v/>
      </c>
      <c r="I72" s="5" t="str">
        <f aca="false">IF(OR(B72="",D72=""),"",IFERROR(IF(AND(D72&gt;=INDEX(Bolos!$D:$D,MATCH(B72,Bolos!$A:$A,0)),D72&lt;=INDEX(Bolos!$E:$E,MATCH(B72,Bolos!$A:$A,0))),"OK","Fora do limite"),""))</f>
        <v/>
      </c>
      <c r="K72" s="14"/>
      <c r="L72" s="13" t="str">
        <f aca="false">IF(K72="","",ROUND(K72*(1-'Como usar'!$B$26),2))</f>
        <v/>
      </c>
      <c r="M72" s="5" t="str">
        <f aca="false">IF(B72="","",IF(AND(G72="Inativo",IFERROR(INDEX(Bolos!$O:$O,MATCH(B72,Bolos!$A:$A,0)),"")="Sim",K72&lt;&gt;""),"Sim","Não"))</f>
        <v/>
      </c>
      <c r="N72" s="14"/>
    </row>
    <row r="73" customFormat="false" ht="15" hidden="false" customHeight="true" outlineLevel="0" collapsed="false">
      <c r="E73" s="5" t="str">
        <f aca="false">IF(B73="","",IFERROR(INDEX(Bolos!$B:$B,MATCH(B73,Bolos!$A:$A,0))&amp;IF(C73="",""," — "&amp;C73)&amp;" — "&amp;D73&amp;" andares",""))</f>
        <v/>
      </c>
      <c r="F73" s="14"/>
      <c r="G73" s="5" t="str">
        <f aca="false">IF(B73="","",IFERROR(INDEX(Bolos!$J:$J,MATCH(B73,Bolos!$A:$A,0)),"Código não encontrado"))</f>
        <v/>
      </c>
      <c r="H73" s="5" t="str">
        <f aca="false">IF(B73="","",IF(G73="Disponível","Sim","Não"))</f>
        <v/>
      </c>
      <c r="I73" s="5" t="str">
        <f aca="false">IF(OR(B73="",D73=""),"",IFERROR(IF(AND(D73&gt;=INDEX(Bolos!$D:$D,MATCH(B73,Bolos!$A:$A,0)),D73&lt;=INDEX(Bolos!$E:$E,MATCH(B73,Bolos!$A:$A,0))),"OK","Fora do limite"),""))</f>
        <v/>
      </c>
      <c r="K73" s="14"/>
      <c r="L73" s="13" t="str">
        <f aca="false">IF(K73="","",ROUND(K73*(1-'Como usar'!$B$26),2))</f>
        <v/>
      </c>
      <c r="M73" s="5" t="str">
        <f aca="false">IF(B73="","",IF(AND(G73="Inativo",IFERROR(INDEX(Bolos!$O:$O,MATCH(B73,Bolos!$A:$A,0)),"")="Sim",K73&lt;&gt;""),"Sim","Não"))</f>
        <v/>
      </c>
      <c r="N73" s="14"/>
    </row>
    <row r="74" customFormat="false" ht="15" hidden="false" customHeight="true" outlineLevel="0" collapsed="false">
      <c r="E74" s="5" t="str">
        <f aca="false">IF(B74="","",IFERROR(INDEX(Bolos!$B:$B,MATCH(B74,Bolos!$A:$A,0))&amp;IF(C74="",""," — "&amp;C74)&amp;" — "&amp;D74&amp;" andares",""))</f>
        <v/>
      </c>
      <c r="F74" s="14"/>
      <c r="G74" s="5" t="str">
        <f aca="false">IF(B74="","",IFERROR(INDEX(Bolos!$J:$J,MATCH(B74,Bolos!$A:$A,0)),"Código não encontrado"))</f>
        <v/>
      </c>
      <c r="H74" s="5" t="str">
        <f aca="false">IF(B74="","",IF(G74="Disponível","Sim","Não"))</f>
        <v/>
      </c>
      <c r="I74" s="5" t="str">
        <f aca="false">IF(OR(B74="",D74=""),"",IFERROR(IF(AND(D74&gt;=INDEX(Bolos!$D:$D,MATCH(B74,Bolos!$A:$A,0)),D74&lt;=INDEX(Bolos!$E:$E,MATCH(B74,Bolos!$A:$A,0))),"OK","Fora do limite"),""))</f>
        <v/>
      </c>
      <c r="K74" s="14"/>
      <c r="L74" s="13" t="str">
        <f aca="false">IF(K74="","",ROUND(K74*(1-'Como usar'!$B$26),2))</f>
        <v/>
      </c>
      <c r="M74" s="5" t="str">
        <f aca="false">IF(B74="","",IF(AND(G74="Inativo",IFERROR(INDEX(Bolos!$O:$O,MATCH(B74,Bolos!$A:$A,0)),"")="Sim",K74&lt;&gt;""),"Sim","Não"))</f>
        <v/>
      </c>
      <c r="N74" s="14"/>
    </row>
    <row r="75" customFormat="false" ht="15" hidden="false" customHeight="true" outlineLevel="0" collapsed="false">
      <c r="E75" s="5" t="str">
        <f aca="false">IF(B75="","",IFERROR(INDEX(Bolos!$B:$B,MATCH(B75,Bolos!$A:$A,0))&amp;IF(C75="",""," — "&amp;C75)&amp;" — "&amp;D75&amp;" andares",""))</f>
        <v/>
      </c>
      <c r="F75" s="14"/>
      <c r="G75" s="5" t="str">
        <f aca="false">IF(B75="","",IFERROR(INDEX(Bolos!$J:$J,MATCH(B75,Bolos!$A:$A,0)),"Código não encontrado"))</f>
        <v/>
      </c>
      <c r="H75" s="5" t="str">
        <f aca="false">IF(B75="","",IF(G75="Disponível","Sim","Não"))</f>
        <v/>
      </c>
      <c r="I75" s="5" t="str">
        <f aca="false">IF(OR(B75="",D75=""),"",IFERROR(IF(AND(D75&gt;=INDEX(Bolos!$D:$D,MATCH(B75,Bolos!$A:$A,0)),D75&lt;=INDEX(Bolos!$E:$E,MATCH(B75,Bolos!$A:$A,0))),"OK","Fora do limite"),""))</f>
        <v/>
      </c>
      <c r="K75" s="14"/>
      <c r="L75" s="13" t="str">
        <f aca="false">IF(K75="","",ROUND(K75*(1-'Como usar'!$B$26),2))</f>
        <v/>
      </c>
      <c r="M75" s="5" t="str">
        <f aca="false">IF(B75="","",IF(AND(G75="Inativo",IFERROR(INDEX(Bolos!$O:$O,MATCH(B75,Bolos!$A:$A,0)),"")="Sim",K75&lt;&gt;""),"Sim","Não"))</f>
        <v/>
      </c>
      <c r="N75" s="14"/>
    </row>
    <row r="76" customFormat="false" ht="15" hidden="false" customHeight="true" outlineLevel="0" collapsed="false">
      <c r="E76" s="5" t="str">
        <f aca="false">IF(B76="","",IFERROR(INDEX(Bolos!$B:$B,MATCH(B76,Bolos!$A:$A,0))&amp;IF(C76="",""," — "&amp;C76)&amp;" — "&amp;D76&amp;" andares",""))</f>
        <v/>
      </c>
      <c r="F76" s="14"/>
      <c r="G76" s="5" t="str">
        <f aca="false">IF(B76="","",IFERROR(INDEX(Bolos!$J:$J,MATCH(B76,Bolos!$A:$A,0)),"Código não encontrado"))</f>
        <v/>
      </c>
      <c r="H76" s="5" t="str">
        <f aca="false">IF(B76="","",IF(G76="Disponível","Sim","Não"))</f>
        <v/>
      </c>
      <c r="I76" s="5" t="str">
        <f aca="false">IF(OR(B76="",D76=""),"",IFERROR(IF(AND(D76&gt;=INDEX(Bolos!$D:$D,MATCH(B76,Bolos!$A:$A,0)),D76&lt;=INDEX(Bolos!$E:$E,MATCH(B76,Bolos!$A:$A,0))),"OK","Fora do limite"),""))</f>
        <v/>
      </c>
      <c r="K76" s="14"/>
      <c r="L76" s="13" t="str">
        <f aca="false">IF(K76="","",ROUND(K76*(1-'Como usar'!$B$26),2))</f>
        <v/>
      </c>
      <c r="M76" s="5" t="str">
        <f aca="false">IF(B76="","",IF(AND(G76="Inativo",IFERROR(INDEX(Bolos!$O:$O,MATCH(B76,Bolos!$A:$A,0)),"")="Sim",K76&lt;&gt;""),"Sim","Não"))</f>
        <v/>
      </c>
      <c r="N76" s="14"/>
    </row>
    <row r="77" customFormat="false" ht="15" hidden="false" customHeight="true" outlineLevel="0" collapsed="false">
      <c r="E77" s="5" t="str">
        <f aca="false">IF(B77="","",IFERROR(INDEX(Bolos!$B:$B,MATCH(B77,Bolos!$A:$A,0))&amp;IF(C77="",""," — "&amp;C77)&amp;" — "&amp;D77&amp;" andares",""))</f>
        <v/>
      </c>
      <c r="F77" s="14"/>
      <c r="G77" s="5" t="str">
        <f aca="false">IF(B77="","",IFERROR(INDEX(Bolos!$J:$J,MATCH(B77,Bolos!$A:$A,0)),"Código não encontrado"))</f>
        <v/>
      </c>
      <c r="H77" s="5" t="str">
        <f aca="false">IF(B77="","",IF(G77="Disponível","Sim","Não"))</f>
        <v/>
      </c>
      <c r="I77" s="5" t="str">
        <f aca="false">IF(OR(B77="",D77=""),"",IFERROR(IF(AND(D77&gt;=INDEX(Bolos!$D:$D,MATCH(B77,Bolos!$A:$A,0)),D77&lt;=INDEX(Bolos!$E:$E,MATCH(B77,Bolos!$A:$A,0))),"OK","Fora do limite"),""))</f>
        <v/>
      </c>
      <c r="K77" s="14"/>
      <c r="L77" s="13" t="str">
        <f aca="false">IF(K77="","",ROUND(K77*(1-'Como usar'!$B$26),2))</f>
        <v/>
      </c>
      <c r="M77" s="5" t="str">
        <f aca="false">IF(B77="","",IF(AND(G77="Inativo",IFERROR(INDEX(Bolos!$O:$O,MATCH(B77,Bolos!$A:$A,0)),"")="Sim",K77&lt;&gt;""),"Sim","Não"))</f>
        <v/>
      </c>
      <c r="N77" s="14"/>
    </row>
    <row r="78" customFormat="false" ht="15" hidden="false" customHeight="true" outlineLevel="0" collapsed="false">
      <c r="E78" s="5" t="str">
        <f aca="false">IF(B78="","",IFERROR(INDEX(Bolos!$B:$B,MATCH(B78,Bolos!$A:$A,0))&amp;IF(C78="",""," — "&amp;C78)&amp;" — "&amp;D78&amp;" andares",""))</f>
        <v/>
      </c>
      <c r="F78" s="14"/>
      <c r="G78" s="5" t="str">
        <f aca="false">IF(B78="","",IFERROR(INDEX(Bolos!$J:$J,MATCH(B78,Bolos!$A:$A,0)),"Código não encontrado"))</f>
        <v/>
      </c>
      <c r="H78" s="5" t="str">
        <f aca="false">IF(B78="","",IF(G78="Disponível","Sim","Não"))</f>
        <v/>
      </c>
      <c r="I78" s="5" t="str">
        <f aca="false">IF(OR(B78="",D78=""),"",IFERROR(IF(AND(D78&gt;=INDEX(Bolos!$D:$D,MATCH(B78,Bolos!$A:$A,0)),D78&lt;=INDEX(Bolos!$E:$E,MATCH(B78,Bolos!$A:$A,0))),"OK","Fora do limite"),""))</f>
        <v/>
      </c>
      <c r="K78" s="14"/>
      <c r="L78" s="13" t="str">
        <f aca="false">IF(K78="","",ROUND(K78*(1-'Como usar'!$B$26),2))</f>
        <v/>
      </c>
      <c r="M78" s="5" t="str">
        <f aca="false">IF(B78="","",IF(AND(G78="Inativo",IFERROR(INDEX(Bolos!$O:$O,MATCH(B78,Bolos!$A:$A,0)),"")="Sim",K78&lt;&gt;""),"Sim","Não"))</f>
        <v/>
      </c>
      <c r="N78" s="14"/>
    </row>
    <row r="79" customFormat="false" ht="15" hidden="false" customHeight="true" outlineLevel="0" collapsed="false">
      <c r="E79" s="5" t="str">
        <f aca="false">IF(B79="","",IFERROR(INDEX(Bolos!$B:$B,MATCH(B79,Bolos!$A:$A,0))&amp;IF(C79="",""," — "&amp;C79)&amp;" — "&amp;D79&amp;" andares",""))</f>
        <v/>
      </c>
      <c r="F79" s="14"/>
      <c r="G79" s="5" t="str">
        <f aca="false">IF(B79="","",IFERROR(INDEX(Bolos!$J:$J,MATCH(B79,Bolos!$A:$A,0)),"Código não encontrado"))</f>
        <v/>
      </c>
      <c r="H79" s="5" t="str">
        <f aca="false">IF(B79="","",IF(G79="Disponível","Sim","Não"))</f>
        <v/>
      </c>
      <c r="I79" s="5" t="str">
        <f aca="false">IF(OR(B79="",D79=""),"",IFERROR(IF(AND(D79&gt;=INDEX(Bolos!$D:$D,MATCH(B79,Bolos!$A:$A,0)),D79&lt;=INDEX(Bolos!$E:$E,MATCH(B79,Bolos!$A:$A,0))),"OK","Fora do limite"),""))</f>
        <v/>
      </c>
      <c r="K79" s="14"/>
      <c r="L79" s="13" t="str">
        <f aca="false">IF(K79="","",ROUND(K79*(1-'Como usar'!$B$26),2))</f>
        <v/>
      </c>
      <c r="M79" s="5" t="str">
        <f aca="false">IF(B79="","",IF(AND(G79="Inativo",IFERROR(INDEX(Bolos!$O:$O,MATCH(B79,Bolos!$A:$A,0)),"")="Sim",K79&lt;&gt;""),"Sim","Não"))</f>
        <v/>
      </c>
      <c r="N79" s="14"/>
    </row>
    <row r="80" customFormat="false" ht="15" hidden="false" customHeight="true" outlineLevel="0" collapsed="false">
      <c r="E80" s="5" t="str">
        <f aca="false">IF(B80="","",IFERROR(INDEX(Bolos!$B:$B,MATCH(B80,Bolos!$A:$A,0))&amp;IF(C80="",""," — "&amp;C80)&amp;" — "&amp;D80&amp;" andares",""))</f>
        <v/>
      </c>
      <c r="F80" s="14"/>
      <c r="G80" s="5" t="str">
        <f aca="false">IF(B80="","",IFERROR(INDEX(Bolos!$J:$J,MATCH(B80,Bolos!$A:$A,0)),"Código não encontrado"))</f>
        <v/>
      </c>
      <c r="H80" s="5" t="str">
        <f aca="false">IF(B80="","",IF(G80="Disponível","Sim","Não"))</f>
        <v/>
      </c>
      <c r="I80" s="5" t="str">
        <f aca="false">IF(OR(B80="",D80=""),"",IFERROR(IF(AND(D80&gt;=INDEX(Bolos!$D:$D,MATCH(B80,Bolos!$A:$A,0)),D80&lt;=INDEX(Bolos!$E:$E,MATCH(B80,Bolos!$A:$A,0))),"OK","Fora do limite"),""))</f>
        <v/>
      </c>
      <c r="K80" s="14"/>
      <c r="L80" s="13" t="str">
        <f aca="false">IF(K80="","",ROUND(K80*(1-'Como usar'!$B$26),2))</f>
        <v/>
      </c>
      <c r="M80" s="5" t="str">
        <f aca="false">IF(B80="","",IF(AND(G80="Inativo",IFERROR(INDEX(Bolos!$O:$O,MATCH(B80,Bolos!$A:$A,0)),"")="Sim",K80&lt;&gt;""),"Sim","Não"))</f>
        <v/>
      </c>
      <c r="N80" s="14"/>
    </row>
    <row r="81" customFormat="false" ht="15" hidden="false" customHeight="true" outlineLevel="0" collapsed="false">
      <c r="E81" s="5" t="str">
        <f aca="false">IF(B81="","",IFERROR(INDEX(Bolos!$B:$B,MATCH(B81,Bolos!$A:$A,0))&amp;IF(C81="",""," — "&amp;C81)&amp;" — "&amp;D81&amp;" andares",""))</f>
        <v/>
      </c>
      <c r="F81" s="14"/>
      <c r="G81" s="5" t="str">
        <f aca="false">IF(B81="","",IFERROR(INDEX(Bolos!$J:$J,MATCH(B81,Bolos!$A:$A,0)),"Código não encontrado"))</f>
        <v/>
      </c>
      <c r="H81" s="5" t="str">
        <f aca="false">IF(B81="","",IF(G81="Disponível","Sim","Não"))</f>
        <v/>
      </c>
      <c r="I81" s="5" t="str">
        <f aca="false">IF(OR(B81="",D81=""),"",IFERROR(IF(AND(D81&gt;=INDEX(Bolos!$D:$D,MATCH(B81,Bolos!$A:$A,0)),D81&lt;=INDEX(Bolos!$E:$E,MATCH(B81,Bolos!$A:$A,0))),"OK","Fora do limite"),""))</f>
        <v/>
      </c>
      <c r="K81" s="14"/>
      <c r="L81" s="13" t="str">
        <f aca="false">IF(K81="","",ROUND(K81*(1-'Como usar'!$B$26),2))</f>
        <v/>
      </c>
      <c r="M81" s="5" t="str">
        <f aca="false">IF(B81="","",IF(AND(G81="Inativo",IFERROR(INDEX(Bolos!$O:$O,MATCH(B81,Bolos!$A:$A,0)),"")="Sim",K81&lt;&gt;""),"Sim","Não"))</f>
        <v/>
      </c>
      <c r="N81" s="14"/>
    </row>
    <row r="82" customFormat="false" ht="15" hidden="false" customHeight="true" outlineLevel="0" collapsed="false">
      <c r="E82" s="5" t="str">
        <f aca="false">IF(B82="","",IFERROR(INDEX(Bolos!$B:$B,MATCH(B82,Bolos!$A:$A,0))&amp;IF(C82="",""," — "&amp;C82)&amp;" — "&amp;D82&amp;" andares",""))</f>
        <v/>
      </c>
      <c r="F82" s="14"/>
      <c r="G82" s="5" t="str">
        <f aca="false">IF(B82="","",IFERROR(INDEX(Bolos!$J:$J,MATCH(B82,Bolos!$A:$A,0)),"Código não encontrado"))</f>
        <v/>
      </c>
      <c r="H82" s="5" t="str">
        <f aca="false">IF(B82="","",IF(G82="Disponível","Sim","Não"))</f>
        <v/>
      </c>
      <c r="I82" s="5" t="str">
        <f aca="false">IF(OR(B82="",D82=""),"",IFERROR(IF(AND(D82&gt;=INDEX(Bolos!$D:$D,MATCH(B82,Bolos!$A:$A,0)),D82&lt;=INDEX(Bolos!$E:$E,MATCH(B82,Bolos!$A:$A,0))),"OK","Fora do limite"),""))</f>
        <v/>
      </c>
      <c r="K82" s="14"/>
      <c r="L82" s="13" t="str">
        <f aca="false">IF(K82="","",ROUND(K82*(1-'Como usar'!$B$26),2))</f>
        <v/>
      </c>
      <c r="M82" s="5" t="str">
        <f aca="false">IF(B82="","",IF(AND(G82="Inativo",IFERROR(INDEX(Bolos!$O:$O,MATCH(B82,Bolos!$A:$A,0)),"")="Sim",K82&lt;&gt;""),"Sim","Não"))</f>
        <v/>
      </c>
      <c r="N82" s="14"/>
    </row>
    <row r="83" customFormat="false" ht="15" hidden="false" customHeight="true" outlineLevel="0" collapsed="false">
      <c r="E83" s="5" t="str">
        <f aca="false">IF(B83="","",IFERROR(INDEX(Bolos!$B:$B,MATCH(B83,Bolos!$A:$A,0))&amp;IF(C83="",""," — "&amp;C83)&amp;" — "&amp;D83&amp;" andares",""))</f>
        <v/>
      </c>
      <c r="F83" s="14"/>
      <c r="G83" s="5" t="str">
        <f aca="false">IF(B83="","",IFERROR(INDEX(Bolos!$J:$J,MATCH(B83,Bolos!$A:$A,0)),"Código não encontrado"))</f>
        <v/>
      </c>
      <c r="H83" s="5" t="str">
        <f aca="false">IF(B83="","",IF(G83="Disponível","Sim","Não"))</f>
        <v/>
      </c>
      <c r="I83" s="5" t="str">
        <f aca="false">IF(OR(B83="",D83=""),"",IFERROR(IF(AND(D83&gt;=INDEX(Bolos!$D:$D,MATCH(B83,Bolos!$A:$A,0)),D83&lt;=INDEX(Bolos!$E:$E,MATCH(B83,Bolos!$A:$A,0))),"OK","Fora do limite"),""))</f>
        <v/>
      </c>
      <c r="K83" s="14"/>
      <c r="L83" s="13" t="str">
        <f aca="false">IF(K83="","",ROUND(K83*(1-'Como usar'!$B$26),2))</f>
        <v/>
      </c>
      <c r="M83" s="5" t="str">
        <f aca="false">IF(B83="","",IF(AND(G83="Inativo",IFERROR(INDEX(Bolos!$O:$O,MATCH(B83,Bolos!$A:$A,0)),"")="Sim",K83&lt;&gt;""),"Sim","Não"))</f>
        <v/>
      </c>
      <c r="N83" s="14"/>
    </row>
    <row r="84" customFormat="false" ht="15" hidden="false" customHeight="true" outlineLevel="0" collapsed="false">
      <c r="E84" s="5" t="str">
        <f aca="false">IF(B84="","",IFERROR(INDEX(Bolos!$B:$B,MATCH(B84,Bolos!$A:$A,0))&amp;IF(C84="",""," — "&amp;C84)&amp;" — "&amp;D84&amp;" andares",""))</f>
        <v/>
      </c>
      <c r="F84" s="14"/>
      <c r="G84" s="5" t="str">
        <f aca="false">IF(B84="","",IFERROR(INDEX(Bolos!$J:$J,MATCH(B84,Bolos!$A:$A,0)),"Código não encontrado"))</f>
        <v/>
      </c>
      <c r="H84" s="5" t="str">
        <f aca="false">IF(B84="","",IF(G84="Disponível","Sim","Não"))</f>
        <v/>
      </c>
      <c r="I84" s="5" t="str">
        <f aca="false">IF(OR(B84="",D84=""),"",IFERROR(IF(AND(D84&gt;=INDEX(Bolos!$D:$D,MATCH(B84,Bolos!$A:$A,0)),D84&lt;=INDEX(Bolos!$E:$E,MATCH(B84,Bolos!$A:$A,0))),"OK","Fora do limite"),""))</f>
        <v/>
      </c>
      <c r="K84" s="14"/>
      <c r="L84" s="13" t="str">
        <f aca="false">IF(K84="","",ROUND(K84*(1-'Como usar'!$B$26),2))</f>
        <v/>
      </c>
      <c r="M84" s="5" t="str">
        <f aca="false">IF(B84="","",IF(AND(G84="Inativo",IFERROR(INDEX(Bolos!$O:$O,MATCH(B84,Bolos!$A:$A,0)),"")="Sim",K84&lt;&gt;""),"Sim","Não"))</f>
        <v/>
      </c>
      <c r="N84" s="14"/>
    </row>
    <row r="85" customFormat="false" ht="15" hidden="false" customHeight="true" outlineLevel="0" collapsed="false">
      <c r="E85" s="5" t="str">
        <f aca="false">IF(B85="","",IFERROR(INDEX(Bolos!$B:$B,MATCH(B85,Bolos!$A:$A,0))&amp;IF(C85="",""," — "&amp;C85)&amp;" — "&amp;D85&amp;" andares",""))</f>
        <v/>
      </c>
      <c r="F85" s="14"/>
      <c r="G85" s="5" t="str">
        <f aca="false">IF(B85="","",IFERROR(INDEX(Bolos!$J:$J,MATCH(B85,Bolos!$A:$A,0)),"Código não encontrado"))</f>
        <v/>
      </c>
      <c r="H85" s="5" t="str">
        <f aca="false">IF(B85="","",IF(G85="Disponível","Sim","Não"))</f>
        <v/>
      </c>
      <c r="I85" s="5" t="str">
        <f aca="false">IF(OR(B85="",D85=""),"",IFERROR(IF(AND(D85&gt;=INDEX(Bolos!$D:$D,MATCH(B85,Bolos!$A:$A,0)),D85&lt;=INDEX(Bolos!$E:$E,MATCH(B85,Bolos!$A:$A,0))),"OK","Fora do limite"),""))</f>
        <v/>
      </c>
      <c r="K85" s="14"/>
      <c r="L85" s="13" t="str">
        <f aca="false">IF(K85="","",ROUND(K85*(1-'Como usar'!$B$26),2))</f>
        <v/>
      </c>
      <c r="M85" s="5" t="str">
        <f aca="false">IF(B85="","",IF(AND(G85="Inativo",IFERROR(INDEX(Bolos!$O:$O,MATCH(B85,Bolos!$A:$A,0)),"")="Sim",K85&lt;&gt;""),"Sim","Não"))</f>
        <v/>
      </c>
      <c r="N85" s="14"/>
    </row>
    <row r="86" customFormat="false" ht="15" hidden="false" customHeight="true" outlineLevel="0" collapsed="false">
      <c r="E86" s="5" t="str">
        <f aca="false">IF(B86="","",IFERROR(INDEX(Bolos!$B:$B,MATCH(B86,Bolos!$A:$A,0))&amp;IF(C86="",""," — "&amp;C86)&amp;" — "&amp;D86&amp;" andares",""))</f>
        <v/>
      </c>
      <c r="F86" s="14"/>
      <c r="G86" s="5" t="str">
        <f aca="false">IF(B86="","",IFERROR(INDEX(Bolos!$J:$J,MATCH(B86,Bolos!$A:$A,0)),"Código não encontrado"))</f>
        <v/>
      </c>
      <c r="H86" s="5" t="str">
        <f aca="false">IF(B86="","",IF(G86="Disponível","Sim","Não"))</f>
        <v/>
      </c>
      <c r="I86" s="5" t="str">
        <f aca="false">IF(OR(B86="",D86=""),"",IFERROR(IF(AND(D86&gt;=INDEX(Bolos!$D:$D,MATCH(B86,Bolos!$A:$A,0)),D86&lt;=INDEX(Bolos!$E:$E,MATCH(B86,Bolos!$A:$A,0))),"OK","Fora do limite"),""))</f>
        <v/>
      </c>
      <c r="K86" s="14"/>
      <c r="L86" s="13" t="str">
        <f aca="false">IF(K86="","",ROUND(K86*(1-'Como usar'!$B$26),2))</f>
        <v/>
      </c>
      <c r="M86" s="5" t="str">
        <f aca="false">IF(B86="","",IF(AND(G86="Inativo",IFERROR(INDEX(Bolos!$O:$O,MATCH(B86,Bolos!$A:$A,0)),"")="Sim",K86&lt;&gt;""),"Sim","Não"))</f>
        <v/>
      </c>
      <c r="N86" s="14"/>
    </row>
    <row r="87" customFormat="false" ht="15" hidden="false" customHeight="true" outlineLevel="0" collapsed="false">
      <c r="E87" s="5" t="str">
        <f aca="false">IF(B87="","",IFERROR(INDEX(Bolos!$B:$B,MATCH(B87,Bolos!$A:$A,0))&amp;IF(C87="",""," — "&amp;C87)&amp;" — "&amp;D87&amp;" andares",""))</f>
        <v/>
      </c>
      <c r="F87" s="14"/>
      <c r="G87" s="5" t="str">
        <f aca="false">IF(B87="","",IFERROR(INDEX(Bolos!$J:$J,MATCH(B87,Bolos!$A:$A,0)),"Código não encontrado"))</f>
        <v/>
      </c>
      <c r="H87" s="5" t="str">
        <f aca="false">IF(B87="","",IF(G87="Disponível","Sim","Não"))</f>
        <v/>
      </c>
      <c r="I87" s="5" t="str">
        <f aca="false">IF(OR(B87="",D87=""),"",IFERROR(IF(AND(D87&gt;=INDEX(Bolos!$D:$D,MATCH(B87,Bolos!$A:$A,0)),D87&lt;=INDEX(Bolos!$E:$E,MATCH(B87,Bolos!$A:$A,0))),"OK","Fora do limite"),""))</f>
        <v/>
      </c>
      <c r="K87" s="14"/>
      <c r="L87" s="13" t="str">
        <f aca="false">IF(K87="","",ROUND(K87*(1-'Como usar'!$B$26),2))</f>
        <v/>
      </c>
      <c r="M87" s="5" t="str">
        <f aca="false">IF(B87="","",IF(AND(G87="Inativo",IFERROR(INDEX(Bolos!$O:$O,MATCH(B87,Bolos!$A:$A,0)),"")="Sim",K87&lt;&gt;""),"Sim","Não"))</f>
        <v/>
      </c>
      <c r="N87" s="14"/>
    </row>
    <row r="88" customFormat="false" ht="15" hidden="false" customHeight="true" outlineLevel="0" collapsed="false">
      <c r="E88" s="5" t="str">
        <f aca="false">IF(B88="","",IFERROR(INDEX(Bolos!$B:$B,MATCH(B88,Bolos!$A:$A,0))&amp;IF(C88="",""," — "&amp;C88)&amp;" — "&amp;D88&amp;" andares",""))</f>
        <v/>
      </c>
      <c r="F88" s="14"/>
      <c r="G88" s="5" t="str">
        <f aca="false">IF(B88="","",IFERROR(INDEX(Bolos!$J:$J,MATCH(B88,Bolos!$A:$A,0)),"Código não encontrado"))</f>
        <v/>
      </c>
      <c r="H88" s="5" t="str">
        <f aca="false">IF(B88="","",IF(G88="Disponível","Sim","Não"))</f>
        <v/>
      </c>
      <c r="I88" s="5" t="str">
        <f aca="false">IF(OR(B88="",D88=""),"",IFERROR(IF(AND(D88&gt;=INDEX(Bolos!$D:$D,MATCH(B88,Bolos!$A:$A,0)),D88&lt;=INDEX(Bolos!$E:$E,MATCH(B88,Bolos!$A:$A,0))),"OK","Fora do limite"),""))</f>
        <v/>
      </c>
      <c r="K88" s="14"/>
      <c r="L88" s="13" t="str">
        <f aca="false">IF(K88="","",ROUND(K88*(1-'Como usar'!$B$26),2))</f>
        <v/>
      </c>
      <c r="M88" s="5" t="str">
        <f aca="false">IF(B88="","",IF(AND(G88="Inativo",IFERROR(INDEX(Bolos!$O:$O,MATCH(B88,Bolos!$A:$A,0)),"")="Sim",K88&lt;&gt;""),"Sim","Não"))</f>
        <v/>
      </c>
      <c r="N88" s="14"/>
    </row>
    <row r="89" customFormat="false" ht="15" hidden="false" customHeight="true" outlineLevel="0" collapsed="false">
      <c r="E89" s="5" t="str">
        <f aca="false">IF(B89="","",IFERROR(INDEX(Bolos!$B:$B,MATCH(B89,Bolos!$A:$A,0))&amp;IF(C89="",""," — "&amp;C89)&amp;" — "&amp;D89&amp;" andares",""))</f>
        <v/>
      </c>
      <c r="F89" s="14"/>
      <c r="G89" s="5" t="str">
        <f aca="false">IF(B89="","",IFERROR(INDEX(Bolos!$J:$J,MATCH(B89,Bolos!$A:$A,0)),"Código não encontrado"))</f>
        <v/>
      </c>
      <c r="H89" s="5" t="str">
        <f aca="false">IF(B89="","",IF(G89="Disponível","Sim","Não"))</f>
        <v/>
      </c>
      <c r="I89" s="5" t="str">
        <f aca="false">IF(OR(B89="",D89=""),"",IFERROR(IF(AND(D89&gt;=INDEX(Bolos!$D:$D,MATCH(B89,Bolos!$A:$A,0)),D89&lt;=INDEX(Bolos!$E:$E,MATCH(B89,Bolos!$A:$A,0))),"OK","Fora do limite"),""))</f>
        <v/>
      </c>
      <c r="K89" s="14"/>
      <c r="L89" s="13" t="str">
        <f aca="false">IF(K89="","",ROUND(K89*(1-'Como usar'!$B$26),2))</f>
        <v/>
      </c>
      <c r="M89" s="5" t="str">
        <f aca="false">IF(B89="","",IF(AND(G89="Inativo",IFERROR(INDEX(Bolos!$O:$O,MATCH(B89,Bolos!$A:$A,0)),"")="Sim",K89&lt;&gt;""),"Sim","Não"))</f>
        <v/>
      </c>
      <c r="N89" s="14"/>
    </row>
    <row r="90" customFormat="false" ht="15" hidden="false" customHeight="true" outlineLevel="0" collapsed="false">
      <c r="E90" s="5" t="str">
        <f aca="false">IF(B90="","",IFERROR(INDEX(Bolos!$B:$B,MATCH(B90,Bolos!$A:$A,0))&amp;IF(C90="",""," — "&amp;C90)&amp;" — "&amp;D90&amp;" andares",""))</f>
        <v/>
      </c>
      <c r="F90" s="14"/>
      <c r="G90" s="5" t="str">
        <f aca="false">IF(B90="","",IFERROR(INDEX(Bolos!$J:$J,MATCH(B90,Bolos!$A:$A,0)),"Código não encontrado"))</f>
        <v/>
      </c>
      <c r="H90" s="5" t="str">
        <f aca="false">IF(B90="","",IF(G90="Disponível","Sim","Não"))</f>
        <v/>
      </c>
      <c r="I90" s="5" t="str">
        <f aca="false">IF(OR(B90="",D90=""),"",IFERROR(IF(AND(D90&gt;=INDEX(Bolos!$D:$D,MATCH(B90,Bolos!$A:$A,0)),D90&lt;=INDEX(Bolos!$E:$E,MATCH(B90,Bolos!$A:$A,0))),"OK","Fora do limite"),""))</f>
        <v/>
      </c>
      <c r="K90" s="14"/>
      <c r="L90" s="13" t="str">
        <f aca="false">IF(K90="","",ROUND(K90*(1-'Como usar'!$B$26),2))</f>
        <v/>
      </c>
      <c r="M90" s="5" t="str">
        <f aca="false">IF(B90="","",IF(AND(G90="Inativo",IFERROR(INDEX(Bolos!$O:$O,MATCH(B90,Bolos!$A:$A,0)),"")="Sim",K90&lt;&gt;""),"Sim","Não"))</f>
        <v/>
      </c>
      <c r="N90" s="14"/>
    </row>
    <row r="91" customFormat="false" ht="15" hidden="false" customHeight="true" outlineLevel="0" collapsed="false">
      <c r="E91" s="5" t="str">
        <f aca="false">IF(B91="","",IFERROR(INDEX(Bolos!$B:$B,MATCH(B91,Bolos!$A:$A,0))&amp;IF(C91="",""," — "&amp;C91)&amp;" — "&amp;D91&amp;" andares",""))</f>
        <v/>
      </c>
      <c r="F91" s="14"/>
      <c r="G91" s="5" t="str">
        <f aca="false">IF(B91="","",IFERROR(INDEX(Bolos!$J:$J,MATCH(B91,Bolos!$A:$A,0)),"Código não encontrado"))</f>
        <v/>
      </c>
      <c r="H91" s="5" t="str">
        <f aca="false">IF(B91="","",IF(G91="Disponível","Sim","Não"))</f>
        <v/>
      </c>
      <c r="I91" s="5" t="str">
        <f aca="false">IF(OR(B91="",D91=""),"",IFERROR(IF(AND(D91&gt;=INDEX(Bolos!$D:$D,MATCH(B91,Bolos!$A:$A,0)),D91&lt;=INDEX(Bolos!$E:$E,MATCH(B91,Bolos!$A:$A,0))),"OK","Fora do limite"),""))</f>
        <v/>
      </c>
      <c r="K91" s="14"/>
      <c r="L91" s="13" t="str">
        <f aca="false">IF(K91="","",ROUND(K91*(1-'Como usar'!$B$26),2))</f>
        <v/>
      </c>
      <c r="M91" s="5" t="str">
        <f aca="false">IF(B91="","",IF(AND(G91="Inativo",IFERROR(INDEX(Bolos!$O:$O,MATCH(B91,Bolos!$A:$A,0)),"")="Sim",K91&lt;&gt;""),"Sim","Não"))</f>
        <v/>
      </c>
      <c r="N91" s="14"/>
    </row>
    <row r="92" customFormat="false" ht="15" hidden="false" customHeight="true" outlineLevel="0" collapsed="false">
      <c r="E92" s="5" t="str">
        <f aca="false">IF(B92="","",IFERROR(INDEX(Bolos!$B:$B,MATCH(B92,Bolos!$A:$A,0))&amp;IF(C92="",""," — "&amp;C92)&amp;" — "&amp;D92&amp;" andares",""))</f>
        <v/>
      </c>
      <c r="F92" s="14"/>
      <c r="G92" s="5" t="str">
        <f aca="false">IF(B92="","",IFERROR(INDEX(Bolos!$J:$J,MATCH(B92,Bolos!$A:$A,0)),"Código não encontrado"))</f>
        <v/>
      </c>
      <c r="H92" s="5" t="str">
        <f aca="false">IF(B92="","",IF(G92="Disponível","Sim","Não"))</f>
        <v/>
      </c>
      <c r="I92" s="5" t="str">
        <f aca="false">IF(OR(B92="",D92=""),"",IFERROR(IF(AND(D92&gt;=INDEX(Bolos!$D:$D,MATCH(B92,Bolos!$A:$A,0)),D92&lt;=INDEX(Bolos!$E:$E,MATCH(B92,Bolos!$A:$A,0))),"OK","Fora do limite"),""))</f>
        <v/>
      </c>
      <c r="K92" s="14"/>
      <c r="L92" s="13" t="str">
        <f aca="false">IF(K92="","",ROUND(K92*(1-'Como usar'!$B$26),2))</f>
        <v/>
      </c>
      <c r="M92" s="5" t="str">
        <f aca="false">IF(B92="","",IF(AND(G92="Inativo",IFERROR(INDEX(Bolos!$O:$O,MATCH(B92,Bolos!$A:$A,0)),"")="Sim",K92&lt;&gt;""),"Sim","Não"))</f>
        <v/>
      </c>
      <c r="N92" s="14"/>
    </row>
    <row r="93" customFormat="false" ht="15" hidden="false" customHeight="true" outlineLevel="0" collapsed="false">
      <c r="E93" s="5" t="str">
        <f aca="false">IF(B93="","",IFERROR(INDEX(Bolos!$B:$B,MATCH(B93,Bolos!$A:$A,0))&amp;IF(C93="",""," — "&amp;C93)&amp;" — "&amp;D93&amp;" andares",""))</f>
        <v/>
      </c>
      <c r="F93" s="14"/>
      <c r="G93" s="5" t="str">
        <f aca="false">IF(B93="","",IFERROR(INDEX(Bolos!$J:$J,MATCH(B93,Bolos!$A:$A,0)),"Código não encontrado"))</f>
        <v/>
      </c>
      <c r="H93" s="5" t="str">
        <f aca="false">IF(B93="","",IF(G93="Disponível","Sim","Não"))</f>
        <v/>
      </c>
      <c r="I93" s="5" t="str">
        <f aca="false">IF(OR(B93="",D93=""),"",IFERROR(IF(AND(D93&gt;=INDEX(Bolos!$D:$D,MATCH(B93,Bolos!$A:$A,0)),D93&lt;=INDEX(Bolos!$E:$E,MATCH(B93,Bolos!$A:$A,0))),"OK","Fora do limite"),""))</f>
        <v/>
      </c>
      <c r="K93" s="14"/>
      <c r="L93" s="13" t="str">
        <f aca="false">IF(K93="","",ROUND(K93*(1-'Como usar'!$B$26),2))</f>
        <v/>
      </c>
      <c r="M93" s="5" t="str">
        <f aca="false">IF(B93="","",IF(AND(G93="Inativo",IFERROR(INDEX(Bolos!$O:$O,MATCH(B93,Bolos!$A:$A,0)),"")="Sim",K93&lt;&gt;""),"Sim","Não"))</f>
        <v/>
      </c>
      <c r="N93" s="14"/>
    </row>
    <row r="94" customFormat="false" ht="15" hidden="false" customHeight="true" outlineLevel="0" collapsed="false">
      <c r="E94" s="5" t="str">
        <f aca="false">IF(B94="","",IFERROR(INDEX(Bolos!$B:$B,MATCH(B94,Bolos!$A:$A,0))&amp;IF(C94="",""," — "&amp;C94)&amp;" — "&amp;D94&amp;" andares",""))</f>
        <v/>
      </c>
      <c r="F94" s="14"/>
      <c r="G94" s="5" t="str">
        <f aca="false">IF(B94="","",IFERROR(INDEX(Bolos!$J:$J,MATCH(B94,Bolos!$A:$A,0)),"Código não encontrado"))</f>
        <v/>
      </c>
      <c r="H94" s="5" t="str">
        <f aca="false">IF(B94="","",IF(G94="Disponível","Sim","Não"))</f>
        <v/>
      </c>
      <c r="I94" s="5" t="str">
        <f aca="false">IF(OR(B94="",D94=""),"",IFERROR(IF(AND(D94&gt;=INDEX(Bolos!$D:$D,MATCH(B94,Bolos!$A:$A,0)),D94&lt;=INDEX(Bolos!$E:$E,MATCH(B94,Bolos!$A:$A,0))),"OK","Fora do limite"),""))</f>
        <v/>
      </c>
      <c r="K94" s="14"/>
      <c r="L94" s="13" t="str">
        <f aca="false">IF(K94="","",ROUND(K94*(1-'Como usar'!$B$26),2))</f>
        <v/>
      </c>
      <c r="M94" s="5" t="str">
        <f aca="false">IF(B94="","",IF(AND(G94="Inativo",IFERROR(INDEX(Bolos!$O:$O,MATCH(B94,Bolos!$A:$A,0)),"")="Sim",K94&lt;&gt;""),"Sim","Não"))</f>
        <v/>
      </c>
      <c r="N94" s="14"/>
    </row>
    <row r="95" customFormat="false" ht="15" hidden="false" customHeight="true" outlineLevel="0" collapsed="false">
      <c r="E95" s="5" t="str">
        <f aca="false">IF(B95="","",IFERROR(INDEX(Bolos!$B:$B,MATCH(B95,Bolos!$A:$A,0))&amp;IF(C95="",""," — "&amp;C95)&amp;" — "&amp;D95&amp;" andares",""))</f>
        <v/>
      </c>
      <c r="F95" s="14"/>
      <c r="G95" s="5" t="str">
        <f aca="false">IF(B95="","",IFERROR(INDEX(Bolos!$J:$J,MATCH(B95,Bolos!$A:$A,0)),"Código não encontrado"))</f>
        <v/>
      </c>
      <c r="H95" s="5" t="str">
        <f aca="false">IF(B95="","",IF(G95="Disponível","Sim","Não"))</f>
        <v/>
      </c>
      <c r="I95" s="5" t="str">
        <f aca="false">IF(OR(B95="",D95=""),"",IFERROR(IF(AND(D95&gt;=INDEX(Bolos!$D:$D,MATCH(B95,Bolos!$A:$A,0)),D95&lt;=INDEX(Bolos!$E:$E,MATCH(B95,Bolos!$A:$A,0))),"OK","Fora do limite"),""))</f>
        <v/>
      </c>
      <c r="K95" s="14"/>
      <c r="L95" s="13" t="str">
        <f aca="false">IF(K95="","",ROUND(K95*(1-'Como usar'!$B$26),2))</f>
        <v/>
      </c>
      <c r="M95" s="5" t="str">
        <f aca="false">IF(B95="","",IF(AND(G95="Inativo",IFERROR(INDEX(Bolos!$O:$O,MATCH(B95,Bolos!$A:$A,0)),"")="Sim",K95&lt;&gt;""),"Sim","Não"))</f>
        <v/>
      </c>
      <c r="N95" s="14"/>
    </row>
    <row r="96" customFormat="false" ht="15" hidden="false" customHeight="true" outlineLevel="0" collapsed="false">
      <c r="E96" s="5" t="str">
        <f aca="false">IF(B96="","",IFERROR(INDEX(Bolos!$B:$B,MATCH(B96,Bolos!$A:$A,0))&amp;IF(C96="",""," — "&amp;C96)&amp;" — "&amp;D96&amp;" andares",""))</f>
        <v/>
      </c>
      <c r="F96" s="14"/>
      <c r="G96" s="5" t="str">
        <f aca="false">IF(B96="","",IFERROR(INDEX(Bolos!$J:$J,MATCH(B96,Bolos!$A:$A,0)),"Código não encontrado"))</f>
        <v/>
      </c>
      <c r="H96" s="5" t="str">
        <f aca="false">IF(B96="","",IF(G96="Disponível","Sim","Não"))</f>
        <v/>
      </c>
      <c r="I96" s="5" t="str">
        <f aca="false">IF(OR(B96="",D96=""),"",IFERROR(IF(AND(D96&gt;=INDEX(Bolos!$D:$D,MATCH(B96,Bolos!$A:$A,0)),D96&lt;=INDEX(Bolos!$E:$E,MATCH(B96,Bolos!$A:$A,0))),"OK","Fora do limite"),""))</f>
        <v/>
      </c>
      <c r="K96" s="14"/>
      <c r="L96" s="13" t="str">
        <f aca="false">IF(K96="","",ROUND(K96*(1-'Como usar'!$B$26),2))</f>
        <v/>
      </c>
      <c r="M96" s="5" t="str">
        <f aca="false">IF(B96="","",IF(AND(G96="Inativo",IFERROR(INDEX(Bolos!$O:$O,MATCH(B96,Bolos!$A:$A,0)),"")="Sim",K96&lt;&gt;""),"Sim","Não"))</f>
        <v/>
      </c>
      <c r="N96" s="14"/>
    </row>
    <row r="97" customFormat="false" ht="15" hidden="false" customHeight="true" outlineLevel="0" collapsed="false">
      <c r="E97" s="5" t="str">
        <f aca="false">IF(B97="","",IFERROR(INDEX(Bolos!$B:$B,MATCH(B97,Bolos!$A:$A,0))&amp;IF(C97="",""," — "&amp;C97)&amp;" — "&amp;D97&amp;" andares",""))</f>
        <v/>
      </c>
      <c r="F97" s="14"/>
      <c r="G97" s="5" t="str">
        <f aca="false">IF(B97="","",IFERROR(INDEX(Bolos!$J:$J,MATCH(B97,Bolos!$A:$A,0)),"Código não encontrado"))</f>
        <v/>
      </c>
      <c r="H97" s="5" t="str">
        <f aca="false">IF(B97="","",IF(G97="Disponível","Sim","Não"))</f>
        <v/>
      </c>
      <c r="I97" s="5" t="str">
        <f aca="false">IF(OR(B97="",D97=""),"",IFERROR(IF(AND(D97&gt;=INDEX(Bolos!$D:$D,MATCH(B97,Bolos!$A:$A,0)),D97&lt;=INDEX(Bolos!$E:$E,MATCH(B97,Bolos!$A:$A,0))),"OK","Fora do limite"),""))</f>
        <v/>
      </c>
      <c r="K97" s="14"/>
      <c r="L97" s="13" t="str">
        <f aca="false">IF(K97="","",ROUND(K97*(1-'Como usar'!$B$26),2))</f>
        <v/>
      </c>
      <c r="M97" s="5" t="str">
        <f aca="false">IF(B97="","",IF(AND(G97="Inativo",IFERROR(INDEX(Bolos!$O:$O,MATCH(B97,Bolos!$A:$A,0)),"")="Sim",K97&lt;&gt;""),"Sim","Não"))</f>
        <v/>
      </c>
      <c r="N97" s="14"/>
    </row>
    <row r="98" customFormat="false" ht="15" hidden="false" customHeight="true" outlineLevel="0" collapsed="false">
      <c r="E98" s="5" t="str">
        <f aca="false">IF(B98="","",IFERROR(INDEX(Bolos!$B:$B,MATCH(B98,Bolos!$A:$A,0))&amp;IF(C98="",""," — "&amp;C98)&amp;" — "&amp;D98&amp;" andares",""))</f>
        <v/>
      </c>
      <c r="F98" s="14"/>
      <c r="G98" s="5" t="str">
        <f aca="false">IF(B98="","",IFERROR(INDEX(Bolos!$J:$J,MATCH(B98,Bolos!$A:$A,0)),"Código não encontrado"))</f>
        <v/>
      </c>
      <c r="H98" s="5" t="str">
        <f aca="false">IF(B98="","",IF(G98="Disponível","Sim","Não"))</f>
        <v/>
      </c>
      <c r="I98" s="5" t="str">
        <f aca="false">IF(OR(B98="",D98=""),"",IFERROR(IF(AND(D98&gt;=INDEX(Bolos!$D:$D,MATCH(B98,Bolos!$A:$A,0)),D98&lt;=INDEX(Bolos!$E:$E,MATCH(B98,Bolos!$A:$A,0))),"OK","Fora do limite"),""))</f>
        <v/>
      </c>
      <c r="K98" s="14"/>
      <c r="L98" s="13" t="str">
        <f aca="false">IF(K98="","",ROUND(K98*(1-'Como usar'!$B$26),2))</f>
        <v/>
      </c>
      <c r="M98" s="5" t="str">
        <f aca="false">IF(B98="","",IF(AND(G98="Inativo",IFERROR(INDEX(Bolos!$O:$O,MATCH(B98,Bolos!$A:$A,0)),"")="Sim",K98&lt;&gt;""),"Sim","Não"))</f>
        <v/>
      </c>
      <c r="N98" s="14"/>
    </row>
    <row r="99" customFormat="false" ht="15" hidden="false" customHeight="true" outlineLevel="0" collapsed="false">
      <c r="E99" s="5" t="str">
        <f aca="false">IF(B99="","",IFERROR(INDEX(Bolos!$B:$B,MATCH(B99,Bolos!$A:$A,0))&amp;IF(C99="",""," — "&amp;C99)&amp;" — "&amp;D99&amp;" andares",""))</f>
        <v/>
      </c>
      <c r="F99" s="14"/>
      <c r="G99" s="5" t="str">
        <f aca="false">IF(B99="","",IFERROR(INDEX(Bolos!$J:$J,MATCH(B99,Bolos!$A:$A,0)),"Código não encontrado"))</f>
        <v/>
      </c>
      <c r="H99" s="5" t="str">
        <f aca="false">IF(B99="","",IF(G99="Disponível","Sim","Não"))</f>
        <v/>
      </c>
      <c r="I99" s="5" t="str">
        <f aca="false">IF(OR(B99="",D99=""),"",IFERROR(IF(AND(D99&gt;=INDEX(Bolos!$D:$D,MATCH(B99,Bolos!$A:$A,0)),D99&lt;=INDEX(Bolos!$E:$E,MATCH(B99,Bolos!$A:$A,0))),"OK","Fora do limite"),""))</f>
        <v/>
      </c>
      <c r="K99" s="14"/>
      <c r="L99" s="13" t="str">
        <f aca="false">IF(K99="","",ROUND(K99*(1-'Como usar'!$B$26),2))</f>
        <v/>
      </c>
      <c r="M99" s="5" t="str">
        <f aca="false">IF(B99="","",IF(AND(G99="Inativo",IFERROR(INDEX(Bolos!$O:$O,MATCH(B99,Bolos!$A:$A,0)),"")="Sim",K99&lt;&gt;""),"Sim","Não"))</f>
        <v/>
      </c>
      <c r="N99" s="14"/>
    </row>
    <row r="100" customFormat="false" ht="15" hidden="false" customHeight="true" outlineLevel="0" collapsed="false">
      <c r="E100" s="5" t="str">
        <f aca="false">IF(B100="","",IFERROR(INDEX(Bolos!$B:$B,MATCH(B100,Bolos!$A:$A,0))&amp;IF(C100="",""," — "&amp;C100)&amp;" — "&amp;D100&amp;" andares",""))</f>
        <v/>
      </c>
      <c r="F100" s="14"/>
      <c r="G100" s="5" t="str">
        <f aca="false">IF(B100="","",IFERROR(INDEX(Bolos!$J:$J,MATCH(B100,Bolos!$A:$A,0)),"Código não encontrado"))</f>
        <v/>
      </c>
      <c r="H100" s="5" t="str">
        <f aca="false">IF(B100="","",IF(G100="Disponível","Sim","Não"))</f>
        <v/>
      </c>
      <c r="I100" s="5" t="str">
        <f aca="false">IF(OR(B100="",D100=""),"",IFERROR(IF(AND(D100&gt;=INDEX(Bolos!$D:$D,MATCH(B100,Bolos!$A:$A,0)),D100&lt;=INDEX(Bolos!$E:$E,MATCH(B100,Bolos!$A:$A,0))),"OK","Fora do limite"),""))</f>
        <v/>
      </c>
      <c r="K100" s="14"/>
      <c r="L100" s="13" t="str">
        <f aca="false">IF(K100="","",ROUND(K100*(1-'Como usar'!$B$26),2))</f>
        <v/>
      </c>
      <c r="M100" s="5" t="str">
        <f aca="false">IF(B100="","",IF(AND(G100="Inativo",IFERROR(INDEX(Bolos!$O:$O,MATCH(B100,Bolos!$A:$A,0)),"")="Sim",K100&lt;&gt;""),"Sim","Não"))</f>
        <v/>
      </c>
      <c r="N100" s="14"/>
    </row>
    <row r="101" customFormat="false" ht="15" hidden="false" customHeight="true" outlineLevel="0" collapsed="false">
      <c r="E101" s="5" t="str">
        <f aca="false">IF(B101="","",IFERROR(INDEX(Bolos!$B:$B,MATCH(B101,Bolos!$A:$A,0))&amp;IF(C101="",""," — "&amp;C101)&amp;" — "&amp;D101&amp;" andares",""))</f>
        <v/>
      </c>
      <c r="F101" s="14"/>
      <c r="G101" s="5" t="str">
        <f aca="false">IF(B101="","",IFERROR(INDEX(Bolos!$J:$J,MATCH(B101,Bolos!$A:$A,0)),"Código não encontrado"))</f>
        <v/>
      </c>
      <c r="H101" s="5" t="str">
        <f aca="false">IF(B101="","",IF(G101="Disponível","Sim","Não"))</f>
        <v/>
      </c>
      <c r="I101" s="5" t="str">
        <f aca="false">IF(OR(B101="",D101=""),"",IFERROR(IF(AND(D101&gt;=INDEX(Bolos!$D:$D,MATCH(B101,Bolos!$A:$A,0)),D101&lt;=INDEX(Bolos!$E:$E,MATCH(B101,Bolos!$A:$A,0))),"OK","Fora do limite"),""))</f>
        <v/>
      </c>
      <c r="K101" s="14"/>
      <c r="L101" s="13" t="str">
        <f aca="false">IF(K101="","",ROUND(K101*(1-'Como usar'!$B$26),2))</f>
        <v/>
      </c>
      <c r="M101" s="5" t="str">
        <f aca="false">IF(B101="","",IF(AND(G101="Inativo",IFERROR(INDEX(Bolos!$O:$O,MATCH(B101,Bolos!$A:$A,0)),"")="Sim",K101&lt;&gt;""),"Sim","Não"))</f>
        <v/>
      </c>
      <c r="N101" s="14"/>
    </row>
    <row r="102" customFormat="false" ht="15" hidden="false" customHeight="true" outlineLevel="0" collapsed="false">
      <c r="E102" s="5" t="str">
        <f aca="false">IF(B102="","",IFERROR(INDEX(Bolos!$B:$B,MATCH(B102,Bolos!$A:$A,0))&amp;IF(C102="",""," — "&amp;C102)&amp;" — "&amp;D102&amp;" andares",""))</f>
        <v/>
      </c>
      <c r="F102" s="14"/>
      <c r="G102" s="5" t="str">
        <f aca="false">IF(B102="","",IFERROR(INDEX(Bolos!$J:$J,MATCH(B102,Bolos!$A:$A,0)),"Código não encontrado"))</f>
        <v/>
      </c>
      <c r="H102" s="5" t="str">
        <f aca="false">IF(B102="","",IF(G102="Disponível","Sim","Não"))</f>
        <v/>
      </c>
      <c r="I102" s="5" t="str">
        <f aca="false">IF(OR(B102="",D102=""),"",IFERROR(IF(AND(D102&gt;=INDEX(Bolos!$D:$D,MATCH(B102,Bolos!$A:$A,0)),D102&lt;=INDEX(Bolos!$E:$E,MATCH(B102,Bolos!$A:$A,0))),"OK","Fora do limite"),""))</f>
        <v/>
      </c>
      <c r="K102" s="14"/>
      <c r="L102" s="13" t="str">
        <f aca="false">IF(K102="","",ROUND(K102*(1-'Como usar'!$B$26),2))</f>
        <v/>
      </c>
      <c r="M102" s="5" t="str">
        <f aca="false">IF(B102="","",IF(AND(G102="Inativo",IFERROR(INDEX(Bolos!$O:$O,MATCH(B102,Bolos!$A:$A,0)),"")="Sim",K102&lt;&gt;""),"Sim","Não"))</f>
        <v/>
      </c>
      <c r="N102" s="14"/>
    </row>
    <row r="103" customFormat="false" ht="15" hidden="false" customHeight="true" outlineLevel="0" collapsed="false">
      <c r="E103" s="5" t="str">
        <f aca="false">IF(B103="","",IFERROR(INDEX(Bolos!$B:$B,MATCH(B103,Bolos!$A:$A,0))&amp;IF(C103="",""," — "&amp;C103)&amp;" — "&amp;D103&amp;" andares",""))</f>
        <v/>
      </c>
      <c r="F103" s="14"/>
      <c r="G103" s="5" t="str">
        <f aca="false">IF(B103="","",IFERROR(INDEX(Bolos!$J:$J,MATCH(B103,Bolos!$A:$A,0)),"Código não encontrado"))</f>
        <v/>
      </c>
      <c r="H103" s="5" t="str">
        <f aca="false">IF(B103="","",IF(G103="Disponível","Sim","Não"))</f>
        <v/>
      </c>
      <c r="I103" s="5" t="str">
        <f aca="false">IF(OR(B103="",D103=""),"",IFERROR(IF(AND(D103&gt;=INDEX(Bolos!$D:$D,MATCH(B103,Bolos!$A:$A,0)),D103&lt;=INDEX(Bolos!$E:$E,MATCH(B103,Bolos!$A:$A,0))),"OK","Fora do limite"),""))</f>
        <v/>
      </c>
      <c r="K103" s="14"/>
      <c r="L103" s="13" t="str">
        <f aca="false">IF(K103="","",ROUND(K103*(1-'Como usar'!$B$26),2))</f>
        <v/>
      </c>
      <c r="M103" s="5" t="str">
        <f aca="false">IF(B103="","",IF(AND(G103="Inativo",IFERROR(INDEX(Bolos!$O:$O,MATCH(B103,Bolos!$A:$A,0)),"")="Sim",K103&lt;&gt;""),"Sim","Não"))</f>
        <v/>
      </c>
      <c r="N103" s="14"/>
    </row>
    <row r="104" customFormat="false" ht="15" hidden="false" customHeight="true" outlineLevel="0" collapsed="false">
      <c r="E104" s="5" t="str">
        <f aca="false">IF(B104="","",IFERROR(INDEX(Bolos!$B:$B,MATCH(B104,Bolos!$A:$A,0))&amp;IF(C104="",""," — "&amp;C104)&amp;" — "&amp;D104&amp;" andares",""))</f>
        <v/>
      </c>
      <c r="F104" s="14"/>
      <c r="G104" s="5" t="str">
        <f aca="false">IF(B104="","",IFERROR(INDEX(Bolos!$J:$J,MATCH(B104,Bolos!$A:$A,0)),"Código não encontrado"))</f>
        <v/>
      </c>
      <c r="H104" s="5" t="str">
        <f aca="false">IF(B104="","",IF(G104="Disponível","Sim","Não"))</f>
        <v/>
      </c>
      <c r="I104" s="5" t="str">
        <f aca="false">IF(OR(B104="",D104=""),"",IFERROR(IF(AND(D104&gt;=INDEX(Bolos!$D:$D,MATCH(B104,Bolos!$A:$A,0)),D104&lt;=INDEX(Bolos!$E:$E,MATCH(B104,Bolos!$A:$A,0))),"OK","Fora do limite"),""))</f>
        <v/>
      </c>
      <c r="K104" s="14"/>
      <c r="L104" s="13" t="str">
        <f aca="false">IF(K104="","",ROUND(K104*(1-'Como usar'!$B$26),2))</f>
        <v/>
      </c>
      <c r="M104" s="5" t="str">
        <f aca="false">IF(B104="","",IF(AND(G104="Inativo",IFERROR(INDEX(Bolos!$O:$O,MATCH(B104,Bolos!$A:$A,0)),"")="Sim",K104&lt;&gt;""),"Sim","Não"))</f>
        <v/>
      </c>
      <c r="N104" s="14"/>
    </row>
    <row r="105" customFormat="false" ht="15" hidden="false" customHeight="true" outlineLevel="0" collapsed="false">
      <c r="E105" s="5" t="str">
        <f aca="false">IF(B105="","",IFERROR(INDEX(Bolos!$B:$B,MATCH(B105,Bolos!$A:$A,0))&amp;IF(C105="",""," — "&amp;C105)&amp;" — "&amp;D105&amp;" andares",""))</f>
        <v/>
      </c>
      <c r="F105" s="14"/>
      <c r="G105" s="5" t="str">
        <f aca="false">IF(B105="","",IFERROR(INDEX(Bolos!$J:$J,MATCH(B105,Bolos!$A:$A,0)),"Código não encontrado"))</f>
        <v/>
      </c>
      <c r="H105" s="5" t="str">
        <f aca="false">IF(B105="","",IF(G105="Disponível","Sim","Não"))</f>
        <v/>
      </c>
      <c r="I105" s="5" t="str">
        <f aca="false">IF(OR(B105="",D105=""),"",IFERROR(IF(AND(D105&gt;=INDEX(Bolos!$D:$D,MATCH(B105,Bolos!$A:$A,0)),D105&lt;=INDEX(Bolos!$E:$E,MATCH(B105,Bolos!$A:$A,0))),"OK","Fora do limite"),""))</f>
        <v/>
      </c>
      <c r="K105" s="14"/>
      <c r="L105" s="13" t="str">
        <f aca="false">IF(K105="","",ROUND(K105*(1-'Como usar'!$B$26),2))</f>
        <v/>
      </c>
      <c r="M105" s="5" t="str">
        <f aca="false">IF(B105="","",IF(AND(G105="Inativo",IFERROR(INDEX(Bolos!$O:$O,MATCH(B105,Bolos!$A:$A,0)),"")="Sim",K105&lt;&gt;""),"Sim","Não"))</f>
        <v/>
      </c>
      <c r="N105" s="14"/>
    </row>
    <row r="106" customFormat="false" ht="15" hidden="false" customHeight="true" outlineLevel="0" collapsed="false">
      <c r="E106" s="5" t="str">
        <f aca="false">IF(B106="","",IFERROR(INDEX(Bolos!$B:$B,MATCH(B106,Bolos!$A:$A,0))&amp;IF(C106="",""," — "&amp;C106)&amp;" — "&amp;D106&amp;" andares",""))</f>
        <v/>
      </c>
      <c r="F106" s="14"/>
      <c r="G106" s="5" t="str">
        <f aca="false">IF(B106="","",IFERROR(INDEX(Bolos!$J:$J,MATCH(B106,Bolos!$A:$A,0)),"Código não encontrado"))</f>
        <v/>
      </c>
      <c r="H106" s="5" t="str">
        <f aca="false">IF(B106="","",IF(G106="Disponível","Sim","Não"))</f>
        <v/>
      </c>
      <c r="I106" s="5" t="str">
        <f aca="false">IF(OR(B106="",D106=""),"",IFERROR(IF(AND(D106&gt;=INDEX(Bolos!$D:$D,MATCH(B106,Bolos!$A:$A,0)),D106&lt;=INDEX(Bolos!$E:$E,MATCH(B106,Bolos!$A:$A,0))),"OK","Fora do limite"),""))</f>
        <v/>
      </c>
      <c r="K106" s="14"/>
      <c r="L106" s="13" t="str">
        <f aca="false">IF(K106="","",ROUND(K106*(1-'Como usar'!$B$26),2))</f>
        <v/>
      </c>
      <c r="M106" s="5" t="str">
        <f aca="false">IF(B106="","",IF(AND(G106="Inativo",IFERROR(INDEX(Bolos!$O:$O,MATCH(B106,Bolos!$A:$A,0)),"")="Sim",K106&lt;&gt;""),"Sim","Não"))</f>
        <v/>
      </c>
      <c r="N106" s="14"/>
    </row>
    <row r="107" customFormat="false" ht="15" hidden="false" customHeight="true" outlineLevel="0" collapsed="false">
      <c r="E107" s="5" t="str">
        <f aca="false">IF(B107="","",IFERROR(INDEX(Bolos!$B:$B,MATCH(B107,Bolos!$A:$A,0))&amp;IF(C107="",""," — "&amp;C107)&amp;" — "&amp;D107&amp;" andares",""))</f>
        <v/>
      </c>
      <c r="F107" s="14"/>
      <c r="G107" s="5" t="str">
        <f aca="false">IF(B107="","",IFERROR(INDEX(Bolos!$J:$J,MATCH(B107,Bolos!$A:$A,0)),"Código não encontrado"))</f>
        <v/>
      </c>
      <c r="H107" s="5" t="str">
        <f aca="false">IF(B107="","",IF(G107="Disponível","Sim","Não"))</f>
        <v/>
      </c>
      <c r="I107" s="5" t="str">
        <f aca="false">IF(OR(B107="",D107=""),"",IFERROR(IF(AND(D107&gt;=INDEX(Bolos!$D:$D,MATCH(B107,Bolos!$A:$A,0)),D107&lt;=INDEX(Bolos!$E:$E,MATCH(B107,Bolos!$A:$A,0))),"OK","Fora do limite"),""))</f>
        <v/>
      </c>
      <c r="K107" s="14"/>
      <c r="L107" s="13" t="str">
        <f aca="false">IF(K107="","",ROUND(K107*(1-'Como usar'!$B$26),2))</f>
        <v/>
      </c>
      <c r="M107" s="5" t="str">
        <f aca="false">IF(B107="","",IF(AND(G107="Inativo",IFERROR(INDEX(Bolos!$O:$O,MATCH(B107,Bolos!$A:$A,0)),"")="Sim",K107&lt;&gt;""),"Sim","Não"))</f>
        <v/>
      </c>
      <c r="N107" s="14"/>
    </row>
    <row r="108" customFormat="false" ht="15" hidden="false" customHeight="true" outlineLevel="0" collapsed="false">
      <c r="E108" s="5" t="str">
        <f aca="false">IF(B108="","",IFERROR(INDEX(Bolos!$B:$B,MATCH(B108,Bolos!$A:$A,0))&amp;IF(C108="",""," — "&amp;C108)&amp;" — "&amp;D108&amp;" andares",""))</f>
        <v/>
      </c>
      <c r="F108" s="14"/>
      <c r="G108" s="5" t="str">
        <f aca="false">IF(B108="","",IFERROR(INDEX(Bolos!$J:$J,MATCH(B108,Bolos!$A:$A,0)),"Código não encontrado"))</f>
        <v/>
      </c>
      <c r="H108" s="5" t="str">
        <f aca="false">IF(B108="","",IF(G108="Disponível","Sim","Não"))</f>
        <v/>
      </c>
      <c r="I108" s="5" t="str">
        <f aca="false">IF(OR(B108="",D108=""),"",IFERROR(IF(AND(D108&gt;=INDEX(Bolos!$D:$D,MATCH(B108,Bolos!$A:$A,0)),D108&lt;=INDEX(Bolos!$E:$E,MATCH(B108,Bolos!$A:$A,0))),"OK","Fora do limite"),""))</f>
        <v/>
      </c>
      <c r="K108" s="14"/>
      <c r="L108" s="13" t="str">
        <f aca="false">IF(K108="","",ROUND(K108*(1-'Como usar'!$B$26),2))</f>
        <v/>
      </c>
      <c r="M108" s="5" t="str">
        <f aca="false">IF(B108="","",IF(AND(G108="Inativo",IFERROR(INDEX(Bolos!$O:$O,MATCH(B108,Bolos!$A:$A,0)),"")="Sim",K108&lt;&gt;""),"Sim","Não"))</f>
        <v/>
      </c>
      <c r="N108" s="14"/>
    </row>
    <row r="109" customFormat="false" ht="15" hidden="false" customHeight="true" outlineLevel="0" collapsed="false">
      <c r="E109" s="5" t="str">
        <f aca="false">IF(B109="","",IFERROR(INDEX(Bolos!$B:$B,MATCH(B109,Bolos!$A:$A,0))&amp;IF(C109="",""," — "&amp;C109)&amp;" — "&amp;D109&amp;" andares",""))</f>
        <v/>
      </c>
      <c r="F109" s="14"/>
      <c r="G109" s="5" t="str">
        <f aca="false">IF(B109="","",IFERROR(INDEX(Bolos!$J:$J,MATCH(B109,Bolos!$A:$A,0)),"Código não encontrado"))</f>
        <v/>
      </c>
      <c r="H109" s="5" t="str">
        <f aca="false">IF(B109="","",IF(G109="Disponível","Sim","Não"))</f>
        <v/>
      </c>
      <c r="I109" s="5" t="str">
        <f aca="false">IF(OR(B109="",D109=""),"",IFERROR(IF(AND(D109&gt;=INDEX(Bolos!$D:$D,MATCH(B109,Bolos!$A:$A,0)),D109&lt;=INDEX(Bolos!$E:$E,MATCH(B109,Bolos!$A:$A,0))),"OK","Fora do limite"),""))</f>
        <v/>
      </c>
      <c r="K109" s="14"/>
      <c r="L109" s="13" t="str">
        <f aca="false">IF(K109="","",ROUND(K109*(1-'Como usar'!$B$26),2))</f>
        <v/>
      </c>
      <c r="M109" s="5" t="str">
        <f aca="false">IF(B109="","",IF(AND(G109="Inativo",IFERROR(INDEX(Bolos!$O:$O,MATCH(B109,Bolos!$A:$A,0)),"")="Sim",K109&lt;&gt;""),"Sim","Não"))</f>
        <v/>
      </c>
      <c r="N109" s="14"/>
    </row>
    <row r="110" customFormat="false" ht="15" hidden="false" customHeight="true" outlineLevel="0" collapsed="false">
      <c r="E110" s="5" t="str">
        <f aca="false">IF(B110="","",IFERROR(INDEX(Bolos!$B:$B,MATCH(B110,Bolos!$A:$A,0))&amp;IF(C110="",""," — "&amp;C110)&amp;" — "&amp;D110&amp;" andares",""))</f>
        <v/>
      </c>
      <c r="F110" s="14"/>
      <c r="G110" s="5" t="str">
        <f aca="false">IF(B110="","",IFERROR(INDEX(Bolos!$J:$J,MATCH(B110,Bolos!$A:$A,0)),"Código não encontrado"))</f>
        <v/>
      </c>
      <c r="H110" s="5" t="str">
        <f aca="false">IF(B110="","",IF(G110="Disponível","Sim","Não"))</f>
        <v/>
      </c>
      <c r="I110" s="5" t="str">
        <f aca="false">IF(OR(B110="",D110=""),"",IFERROR(IF(AND(D110&gt;=INDEX(Bolos!$D:$D,MATCH(B110,Bolos!$A:$A,0)),D110&lt;=INDEX(Bolos!$E:$E,MATCH(B110,Bolos!$A:$A,0))),"OK","Fora do limite"),""))</f>
        <v/>
      </c>
      <c r="K110" s="14"/>
      <c r="L110" s="13" t="str">
        <f aca="false">IF(K110="","",ROUND(K110*(1-'Como usar'!$B$26),2))</f>
        <v/>
      </c>
      <c r="M110" s="5" t="str">
        <f aca="false">IF(B110="","",IF(AND(G110="Inativo",IFERROR(INDEX(Bolos!$O:$O,MATCH(B110,Bolos!$A:$A,0)),"")="Sim",K110&lt;&gt;""),"Sim","Não"))</f>
        <v/>
      </c>
      <c r="N110" s="14"/>
    </row>
    <row r="111" customFormat="false" ht="15" hidden="false" customHeight="true" outlineLevel="0" collapsed="false">
      <c r="E111" s="5" t="str">
        <f aca="false">IF(B111="","",IFERROR(INDEX(Bolos!$B:$B,MATCH(B111,Bolos!$A:$A,0))&amp;IF(C111="",""," — "&amp;C111)&amp;" — "&amp;D111&amp;" andares",""))</f>
        <v/>
      </c>
      <c r="F111" s="14"/>
      <c r="G111" s="5" t="str">
        <f aca="false">IF(B111="","",IFERROR(INDEX(Bolos!$J:$J,MATCH(B111,Bolos!$A:$A,0)),"Código não encontrado"))</f>
        <v/>
      </c>
      <c r="H111" s="5" t="str">
        <f aca="false">IF(B111="","",IF(G111="Disponível","Sim","Não"))</f>
        <v/>
      </c>
      <c r="I111" s="5" t="str">
        <f aca="false">IF(OR(B111="",D111=""),"",IFERROR(IF(AND(D111&gt;=INDEX(Bolos!$D:$D,MATCH(B111,Bolos!$A:$A,0)),D111&lt;=INDEX(Bolos!$E:$E,MATCH(B111,Bolos!$A:$A,0))),"OK","Fora do limite"),""))</f>
        <v/>
      </c>
      <c r="K111" s="14"/>
      <c r="L111" s="13" t="str">
        <f aca="false">IF(K111="","",ROUND(K111*(1-'Como usar'!$B$26),2))</f>
        <v/>
      </c>
      <c r="M111" s="5" t="str">
        <f aca="false">IF(B111="","",IF(AND(G111="Inativo",IFERROR(INDEX(Bolos!$O:$O,MATCH(B111,Bolos!$A:$A,0)),"")="Sim",K111&lt;&gt;""),"Sim","Não"))</f>
        <v/>
      </c>
      <c r="N111" s="14"/>
    </row>
    <row r="112" customFormat="false" ht="15" hidden="false" customHeight="true" outlineLevel="0" collapsed="false">
      <c r="E112" s="5" t="str">
        <f aca="false">IF(B112="","",IFERROR(INDEX(Bolos!$B:$B,MATCH(B112,Bolos!$A:$A,0))&amp;IF(C112="",""," — "&amp;C112)&amp;" — "&amp;D112&amp;" andares",""))</f>
        <v/>
      </c>
      <c r="F112" s="14"/>
      <c r="G112" s="5" t="str">
        <f aca="false">IF(B112="","",IFERROR(INDEX(Bolos!$J:$J,MATCH(B112,Bolos!$A:$A,0)),"Código não encontrado"))</f>
        <v/>
      </c>
      <c r="H112" s="5" t="str">
        <f aca="false">IF(B112="","",IF(G112="Disponível","Sim","Não"))</f>
        <v/>
      </c>
      <c r="I112" s="5" t="str">
        <f aca="false">IF(OR(B112="",D112=""),"",IFERROR(IF(AND(D112&gt;=INDEX(Bolos!$D:$D,MATCH(B112,Bolos!$A:$A,0)),D112&lt;=INDEX(Bolos!$E:$E,MATCH(B112,Bolos!$A:$A,0))),"OK","Fora do limite"),""))</f>
        <v/>
      </c>
      <c r="K112" s="14"/>
      <c r="L112" s="13" t="str">
        <f aca="false">IF(K112="","",ROUND(K112*(1-'Como usar'!$B$26),2))</f>
        <v/>
      </c>
      <c r="M112" s="5" t="str">
        <f aca="false">IF(B112="","",IF(AND(G112="Inativo",IFERROR(INDEX(Bolos!$O:$O,MATCH(B112,Bolos!$A:$A,0)),"")="Sim",K112&lt;&gt;""),"Sim","Não"))</f>
        <v/>
      </c>
      <c r="N112" s="14"/>
    </row>
    <row r="113" customFormat="false" ht="15" hidden="false" customHeight="true" outlineLevel="0" collapsed="false">
      <c r="E113" s="5" t="str">
        <f aca="false">IF(B113="","",IFERROR(INDEX(Bolos!$B:$B,MATCH(B113,Bolos!$A:$A,0))&amp;IF(C113="",""," — "&amp;C113)&amp;" — "&amp;D113&amp;" andares",""))</f>
        <v/>
      </c>
      <c r="F113" s="14"/>
      <c r="G113" s="5" t="str">
        <f aca="false">IF(B113="","",IFERROR(INDEX(Bolos!$J:$J,MATCH(B113,Bolos!$A:$A,0)),"Código não encontrado"))</f>
        <v/>
      </c>
      <c r="H113" s="5" t="str">
        <f aca="false">IF(B113="","",IF(G113="Disponível","Sim","Não"))</f>
        <v/>
      </c>
      <c r="I113" s="5" t="str">
        <f aca="false">IF(OR(B113="",D113=""),"",IFERROR(IF(AND(D113&gt;=INDEX(Bolos!$D:$D,MATCH(B113,Bolos!$A:$A,0)),D113&lt;=INDEX(Bolos!$E:$E,MATCH(B113,Bolos!$A:$A,0))),"OK","Fora do limite"),""))</f>
        <v/>
      </c>
      <c r="K113" s="14"/>
      <c r="L113" s="13" t="str">
        <f aca="false">IF(K113="","",ROUND(K113*(1-'Como usar'!$B$26),2))</f>
        <v/>
      </c>
      <c r="M113" s="5" t="str">
        <f aca="false">IF(B113="","",IF(AND(G113="Inativo",IFERROR(INDEX(Bolos!$O:$O,MATCH(B113,Bolos!$A:$A,0)),"")="Sim",K113&lt;&gt;""),"Sim","Não"))</f>
        <v/>
      </c>
      <c r="N113" s="14"/>
    </row>
    <row r="114" customFormat="false" ht="15" hidden="false" customHeight="true" outlineLevel="0" collapsed="false">
      <c r="E114" s="5" t="str">
        <f aca="false">IF(B114="","",IFERROR(INDEX(Bolos!$B:$B,MATCH(B114,Bolos!$A:$A,0))&amp;IF(C114="",""," — "&amp;C114)&amp;" — "&amp;D114&amp;" andares",""))</f>
        <v/>
      </c>
      <c r="F114" s="14"/>
      <c r="G114" s="5" t="str">
        <f aca="false">IF(B114="","",IFERROR(INDEX(Bolos!$J:$J,MATCH(B114,Bolos!$A:$A,0)),"Código não encontrado"))</f>
        <v/>
      </c>
      <c r="H114" s="5" t="str">
        <f aca="false">IF(B114="","",IF(G114="Disponível","Sim","Não"))</f>
        <v/>
      </c>
      <c r="I114" s="5" t="str">
        <f aca="false">IF(OR(B114="",D114=""),"",IFERROR(IF(AND(D114&gt;=INDEX(Bolos!$D:$D,MATCH(B114,Bolos!$A:$A,0)),D114&lt;=INDEX(Bolos!$E:$E,MATCH(B114,Bolos!$A:$A,0))),"OK","Fora do limite"),""))</f>
        <v/>
      </c>
      <c r="K114" s="14"/>
      <c r="L114" s="13" t="str">
        <f aca="false">IF(K114="","",ROUND(K114*(1-'Como usar'!$B$26),2))</f>
        <v/>
      </c>
      <c r="M114" s="5" t="str">
        <f aca="false">IF(B114="","",IF(AND(G114="Inativo",IFERROR(INDEX(Bolos!$O:$O,MATCH(B114,Bolos!$A:$A,0)),"")="Sim",K114&lt;&gt;""),"Sim","Não"))</f>
        <v/>
      </c>
      <c r="N114" s="14"/>
    </row>
    <row r="115" customFormat="false" ht="15" hidden="false" customHeight="true" outlineLevel="0" collapsed="false">
      <c r="E115" s="5" t="str">
        <f aca="false">IF(B115="","",IFERROR(INDEX(Bolos!$B:$B,MATCH(B115,Bolos!$A:$A,0))&amp;IF(C115="",""," — "&amp;C115)&amp;" — "&amp;D115&amp;" andares",""))</f>
        <v/>
      </c>
      <c r="F115" s="14"/>
      <c r="G115" s="5" t="str">
        <f aca="false">IF(B115="","",IFERROR(INDEX(Bolos!$J:$J,MATCH(B115,Bolos!$A:$A,0)),"Código não encontrado"))</f>
        <v/>
      </c>
      <c r="H115" s="5" t="str">
        <f aca="false">IF(B115="","",IF(G115="Disponível","Sim","Não"))</f>
        <v/>
      </c>
      <c r="I115" s="5" t="str">
        <f aca="false">IF(OR(B115="",D115=""),"",IFERROR(IF(AND(D115&gt;=INDEX(Bolos!$D:$D,MATCH(B115,Bolos!$A:$A,0)),D115&lt;=INDEX(Bolos!$E:$E,MATCH(B115,Bolos!$A:$A,0))),"OK","Fora do limite"),""))</f>
        <v/>
      </c>
      <c r="K115" s="14"/>
      <c r="L115" s="13" t="str">
        <f aca="false">IF(K115="","",ROUND(K115*(1-'Como usar'!$B$26),2))</f>
        <v/>
      </c>
      <c r="M115" s="5" t="str">
        <f aca="false">IF(B115="","",IF(AND(G115="Inativo",IFERROR(INDEX(Bolos!$O:$O,MATCH(B115,Bolos!$A:$A,0)),"")="Sim",K115&lt;&gt;""),"Sim","Não"))</f>
        <v/>
      </c>
      <c r="N115" s="14"/>
    </row>
    <row r="116" customFormat="false" ht="15" hidden="false" customHeight="true" outlineLevel="0" collapsed="false">
      <c r="E116" s="5" t="str">
        <f aca="false">IF(B116="","",IFERROR(INDEX(Bolos!$B:$B,MATCH(B116,Bolos!$A:$A,0))&amp;IF(C116="",""," — "&amp;C116)&amp;" — "&amp;D116&amp;" andares",""))</f>
        <v/>
      </c>
      <c r="F116" s="14"/>
      <c r="G116" s="5" t="str">
        <f aca="false">IF(B116="","",IFERROR(INDEX(Bolos!$J:$J,MATCH(B116,Bolos!$A:$A,0)),"Código não encontrado"))</f>
        <v/>
      </c>
      <c r="H116" s="5" t="str">
        <f aca="false">IF(B116="","",IF(G116="Disponível","Sim","Não"))</f>
        <v/>
      </c>
      <c r="I116" s="5" t="str">
        <f aca="false">IF(OR(B116="",D116=""),"",IFERROR(IF(AND(D116&gt;=INDEX(Bolos!$D:$D,MATCH(B116,Bolos!$A:$A,0)),D116&lt;=INDEX(Bolos!$E:$E,MATCH(B116,Bolos!$A:$A,0))),"OK","Fora do limite"),""))</f>
        <v/>
      </c>
      <c r="K116" s="14"/>
      <c r="L116" s="13" t="str">
        <f aca="false">IF(K116="","",ROUND(K116*(1-'Como usar'!$B$26),2))</f>
        <v/>
      </c>
      <c r="M116" s="5" t="str">
        <f aca="false">IF(B116="","",IF(AND(G116="Inativo",IFERROR(INDEX(Bolos!$O:$O,MATCH(B116,Bolos!$A:$A,0)),"")="Sim",K116&lt;&gt;""),"Sim","Não"))</f>
        <v/>
      </c>
      <c r="N116" s="14"/>
    </row>
    <row r="117" customFormat="false" ht="15" hidden="false" customHeight="true" outlineLevel="0" collapsed="false">
      <c r="E117" s="5" t="str">
        <f aca="false">IF(B117="","",IFERROR(INDEX(Bolos!$B:$B,MATCH(B117,Bolos!$A:$A,0))&amp;IF(C117="",""," — "&amp;C117)&amp;" — "&amp;D117&amp;" andares",""))</f>
        <v/>
      </c>
      <c r="F117" s="14"/>
      <c r="G117" s="5" t="str">
        <f aca="false">IF(B117="","",IFERROR(INDEX(Bolos!$J:$J,MATCH(B117,Bolos!$A:$A,0)),"Código não encontrado"))</f>
        <v/>
      </c>
      <c r="H117" s="5" t="str">
        <f aca="false">IF(B117="","",IF(G117="Disponível","Sim","Não"))</f>
        <v/>
      </c>
      <c r="I117" s="5" t="str">
        <f aca="false">IF(OR(B117="",D117=""),"",IFERROR(IF(AND(D117&gt;=INDEX(Bolos!$D:$D,MATCH(B117,Bolos!$A:$A,0)),D117&lt;=INDEX(Bolos!$E:$E,MATCH(B117,Bolos!$A:$A,0))),"OK","Fora do limite"),""))</f>
        <v/>
      </c>
      <c r="K117" s="14"/>
      <c r="L117" s="13" t="str">
        <f aca="false">IF(K117="","",ROUND(K117*(1-'Como usar'!$B$26),2))</f>
        <v/>
      </c>
      <c r="M117" s="5" t="str">
        <f aca="false">IF(B117="","",IF(AND(G117="Inativo",IFERROR(INDEX(Bolos!$O:$O,MATCH(B117,Bolos!$A:$A,0)),"")="Sim",K117&lt;&gt;""),"Sim","Não"))</f>
        <v/>
      </c>
      <c r="N117" s="14"/>
    </row>
    <row r="118" customFormat="false" ht="15" hidden="false" customHeight="true" outlineLevel="0" collapsed="false">
      <c r="E118" s="5" t="str">
        <f aca="false">IF(B118="","",IFERROR(INDEX(Bolos!$B:$B,MATCH(B118,Bolos!$A:$A,0))&amp;IF(C118="",""," — "&amp;C118)&amp;" — "&amp;D118&amp;" andares",""))</f>
        <v/>
      </c>
      <c r="F118" s="14"/>
      <c r="G118" s="5" t="str">
        <f aca="false">IF(B118="","",IFERROR(INDEX(Bolos!$J:$J,MATCH(B118,Bolos!$A:$A,0)),"Código não encontrado"))</f>
        <v/>
      </c>
      <c r="H118" s="5" t="str">
        <f aca="false">IF(B118="","",IF(G118="Disponível","Sim","Não"))</f>
        <v/>
      </c>
      <c r="I118" s="5" t="str">
        <f aca="false">IF(OR(B118="",D118=""),"",IFERROR(IF(AND(D118&gt;=INDEX(Bolos!$D:$D,MATCH(B118,Bolos!$A:$A,0)),D118&lt;=INDEX(Bolos!$E:$E,MATCH(B118,Bolos!$A:$A,0))),"OK","Fora do limite"),""))</f>
        <v/>
      </c>
      <c r="K118" s="14"/>
      <c r="L118" s="13" t="str">
        <f aca="false">IF(K118="","",ROUND(K118*(1-'Como usar'!$B$26),2))</f>
        <v/>
      </c>
      <c r="M118" s="5" t="str">
        <f aca="false">IF(B118="","",IF(AND(G118="Inativo",IFERROR(INDEX(Bolos!$O:$O,MATCH(B118,Bolos!$A:$A,0)),"")="Sim",K118&lt;&gt;""),"Sim","Não"))</f>
        <v/>
      </c>
      <c r="N118" s="14"/>
    </row>
    <row r="119" customFormat="false" ht="15" hidden="false" customHeight="true" outlineLevel="0" collapsed="false">
      <c r="E119" s="5" t="str">
        <f aca="false">IF(B119="","",IFERROR(INDEX(Bolos!$B:$B,MATCH(B119,Bolos!$A:$A,0))&amp;IF(C119="",""," — "&amp;C119)&amp;" — "&amp;D119&amp;" andares",""))</f>
        <v/>
      </c>
      <c r="F119" s="14"/>
      <c r="G119" s="5" t="str">
        <f aca="false">IF(B119="","",IFERROR(INDEX(Bolos!$J:$J,MATCH(B119,Bolos!$A:$A,0)),"Código não encontrado"))</f>
        <v/>
      </c>
      <c r="H119" s="5" t="str">
        <f aca="false">IF(B119="","",IF(G119="Disponível","Sim","Não"))</f>
        <v/>
      </c>
      <c r="I119" s="5" t="str">
        <f aca="false">IF(OR(B119="",D119=""),"",IFERROR(IF(AND(D119&gt;=INDEX(Bolos!$D:$D,MATCH(B119,Bolos!$A:$A,0)),D119&lt;=INDEX(Bolos!$E:$E,MATCH(B119,Bolos!$A:$A,0))),"OK","Fora do limite"),""))</f>
        <v/>
      </c>
      <c r="K119" s="14"/>
      <c r="L119" s="13" t="str">
        <f aca="false">IF(K119="","",ROUND(K119*(1-'Como usar'!$B$26),2))</f>
        <v/>
      </c>
      <c r="M119" s="5" t="str">
        <f aca="false">IF(B119="","",IF(AND(G119="Inativo",IFERROR(INDEX(Bolos!$O:$O,MATCH(B119,Bolos!$A:$A,0)),"")="Sim",K119&lt;&gt;""),"Sim","Não"))</f>
        <v/>
      </c>
      <c r="N119" s="14"/>
    </row>
    <row r="120" customFormat="false" ht="15" hidden="false" customHeight="true" outlineLevel="0" collapsed="false">
      <c r="E120" s="5" t="str">
        <f aca="false">IF(B120="","",IFERROR(INDEX(Bolos!$B:$B,MATCH(B120,Bolos!$A:$A,0))&amp;IF(C120="",""," — "&amp;C120)&amp;" — "&amp;D120&amp;" andares",""))</f>
        <v/>
      </c>
      <c r="F120" s="14"/>
      <c r="G120" s="5" t="str">
        <f aca="false">IF(B120="","",IFERROR(INDEX(Bolos!$J:$J,MATCH(B120,Bolos!$A:$A,0)),"Código não encontrado"))</f>
        <v/>
      </c>
      <c r="H120" s="5" t="str">
        <f aca="false">IF(B120="","",IF(G120="Disponível","Sim","Não"))</f>
        <v/>
      </c>
      <c r="I120" s="5" t="str">
        <f aca="false">IF(OR(B120="",D120=""),"",IFERROR(IF(AND(D120&gt;=INDEX(Bolos!$D:$D,MATCH(B120,Bolos!$A:$A,0)),D120&lt;=INDEX(Bolos!$E:$E,MATCH(B120,Bolos!$A:$A,0))),"OK","Fora do limite"),""))</f>
        <v/>
      </c>
      <c r="K120" s="14"/>
      <c r="L120" s="13" t="str">
        <f aca="false">IF(K120="","",ROUND(K120*(1-'Como usar'!$B$26),2))</f>
        <v/>
      </c>
      <c r="M120" s="5" t="str">
        <f aca="false">IF(B120="","",IF(AND(G120="Inativo",IFERROR(INDEX(Bolos!$O:$O,MATCH(B120,Bolos!$A:$A,0)),"")="Sim",K120&lt;&gt;""),"Sim","Não"))</f>
        <v/>
      </c>
      <c r="N120" s="14"/>
    </row>
    <row r="121" customFormat="false" ht="15" hidden="false" customHeight="true" outlineLevel="0" collapsed="false">
      <c r="E121" s="5" t="str">
        <f aca="false">IF(B121="","",IFERROR(INDEX(Bolos!$B:$B,MATCH(B121,Bolos!$A:$A,0))&amp;IF(C121="",""," — "&amp;C121)&amp;" — "&amp;D121&amp;" andares",""))</f>
        <v/>
      </c>
      <c r="F121" s="14"/>
      <c r="G121" s="5" t="str">
        <f aca="false">IF(B121="","",IFERROR(INDEX(Bolos!$J:$J,MATCH(B121,Bolos!$A:$A,0)),"Código não encontrado"))</f>
        <v/>
      </c>
      <c r="H121" s="5" t="str">
        <f aca="false">IF(B121="","",IF(G121="Disponível","Sim","Não"))</f>
        <v/>
      </c>
      <c r="I121" s="5" t="str">
        <f aca="false">IF(OR(B121="",D121=""),"",IFERROR(IF(AND(D121&gt;=INDEX(Bolos!$D:$D,MATCH(B121,Bolos!$A:$A,0)),D121&lt;=INDEX(Bolos!$E:$E,MATCH(B121,Bolos!$A:$A,0))),"OK","Fora do limite"),""))</f>
        <v/>
      </c>
      <c r="K121" s="14"/>
      <c r="L121" s="13" t="str">
        <f aca="false">IF(K121="","",ROUND(K121*(1-'Como usar'!$B$26),2))</f>
        <v/>
      </c>
      <c r="M121" s="5" t="str">
        <f aca="false">IF(B121="","",IF(AND(G121="Inativo",IFERROR(INDEX(Bolos!$O:$O,MATCH(B121,Bolos!$A:$A,0)),"")="Sim",K121&lt;&gt;""),"Sim","Não"))</f>
        <v/>
      </c>
      <c r="N121" s="14"/>
    </row>
    <row r="122" customFormat="false" ht="15" hidden="false" customHeight="true" outlineLevel="0" collapsed="false">
      <c r="E122" s="5" t="str">
        <f aca="false">IF(B122="","",IFERROR(INDEX(Bolos!$B:$B,MATCH(B122,Bolos!$A:$A,0))&amp;IF(C122="",""," — "&amp;C122)&amp;" — "&amp;D122&amp;" andares",""))</f>
        <v/>
      </c>
      <c r="F122" s="14"/>
      <c r="G122" s="5" t="str">
        <f aca="false">IF(B122="","",IFERROR(INDEX(Bolos!$J:$J,MATCH(B122,Bolos!$A:$A,0)),"Código não encontrado"))</f>
        <v/>
      </c>
      <c r="H122" s="5" t="str">
        <f aca="false">IF(B122="","",IF(G122="Disponível","Sim","Não"))</f>
        <v/>
      </c>
      <c r="I122" s="5" t="str">
        <f aca="false">IF(OR(B122="",D122=""),"",IFERROR(IF(AND(D122&gt;=INDEX(Bolos!$D:$D,MATCH(B122,Bolos!$A:$A,0)),D122&lt;=INDEX(Bolos!$E:$E,MATCH(B122,Bolos!$A:$A,0))),"OK","Fora do limite"),""))</f>
        <v/>
      </c>
      <c r="K122" s="14"/>
      <c r="L122" s="13" t="str">
        <f aca="false">IF(K122="","",ROUND(K122*(1-'Como usar'!$B$26),2))</f>
        <v/>
      </c>
      <c r="M122" s="5" t="str">
        <f aca="false">IF(B122="","",IF(AND(G122="Inativo",IFERROR(INDEX(Bolos!$O:$O,MATCH(B122,Bolos!$A:$A,0)),"")="Sim",K122&lt;&gt;""),"Sim","Não"))</f>
        <v/>
      </c>
      <c r="N122" s="14"/>
    </row>
    <row r="123" customFormat="false" ht="15" hidden="false" customHeight="true" outlineLevel="0" collapsed="false">
      <c r="E123" s="5" t="str">
        <f aca="false">IF(B123="","",IFERROR(INDEX(Bolos!$B:$B,MATCH(B123,Bolos!$A:$A,0))&amp;IF(C123="",""," — "&amp;C123)&amp;" — "&amp;D123&amp;" andares",""))</f>
        <v/>
      </c>
      <c r="F123" s="14"/>
      <c r="G123" s="5" t="str">
        <f aca="false">IF(B123="","",IFERROR(INDEX(Bolos!$J:$J,MATCH(B123,Bolos!$A:$A,0)),"Código não encontrado"))</f>
        <v/>
      </c>
      <c r="H123" s="5" t="str">
        <f aca="false">IF(B123="","",IF(G123="Disponível","Sim","Não"))</f>
        <v/>
      </c>
      <c r="I123" s="5" t="str">
        <f aca="false">IF(OR(B123="",D123=""),"",IFERROR(IF(AND(D123&gt;=INDEX(Bolos!$D:$D,MATCH(B123,Bolos!$A:$A,0)),D123&lt;=INDEX(Bolos!$E:$E,MATCH(B123,Bolos!$A:$A,0))),"OK","Fora do limite"),""))</f>
        <v/>
      </c>
      <c r="K123" s="14"/>
      <c r="L123" s="13" t="str">
        <f aca="false">IF(K123="","",ROUND(K123*(1-'Como usar'!$B$26),2))</f>
        <v/>
      </c>
      <c r="M123" s="5" t="str">
        <f aca="false">IF(B123="","",IF(AND(G123="Inativo",IFERROR(INDEX(Bolos!$O:$O,MATCH(B123,Bolos!$A:$A,0)),"")="Sim",K123&lt;&gt;""),"Sim","Não"))</f>
        <v/>
      </c>
      <c r="N123" s="14"/>
    </row>
    <row r="124" customFormat="false" ht="15" hidden="false" customHeight="true" outlineLevel="0" collapsed="false">
      <c r="E124" s="5" t="str">
        <f aca="false">IF(B124="","",IFERROR(INDEX(Bolos!$B:$B,MATCH(B124,Bolos!$A:$A,0))&amp;IF(C124="",""," — "&amp;C124)&amp;" — "&amp;D124&amp;" andares",""))</f>
        <v/>
      </c>
      <c r="F124" s="14"/>
      <c r="G124" s="5" t="str">
        <f aca="false">IF(B124="","",IFERROR(INDEX(Bolos!$J:$J,MATCH(B124,Bolos!$A:$A,0)),"Código não encontrado"))</f>
        <v/>
      </c>
      <c r="H124" s="5" t="str">
        <f aca="false">IF(B124="","",IF(G124="Disponível","Sim","Não"))</f>
        <v/>
      </c>
      <c r="I124" s="5" t="str">
        <f aca="false">IF(OR(B124="",D124=""),"",IFERROR(IF(AND(D124&gt;=INDEX(Bolos!$D:$D,MATCH(B124,Bolos!$A:$A,0)),D124&lt;=INDEX(Bolos!$E:$E,MATCH(B124,Bolos!$A:$A,0))),"OK","Fora do limite"),""))</f>
        <v/>
      </c>
      <c r="K124" s="14"/>
      <c r="L124" s="13" t="str">
        <f aca="false">IF(K124="","",ROUND(K124*(1-'Como usar'!$B$26),2))</f>
        <v/>
      </c>
      <c r="M124" s="5" t="str">
        <f aca="false">IF(B124="","",IF(AND(G124="Inativo",IFERROR(INDEX(Bolos!$O:$O,MATCH(B124,Bolos!$A:$A,0)),"")="Sim",K124&lt;&gt;""),"Sim","Não"))</f>
        <v/>
      </c>
      <c r="N124" s="14"/>
    </row>
    <row r="125" customFormat="false" ht="15" hidden="false" customHeight="true" outlineLevel="0" collapsed="false">
      <c r="E125" s="5" t="str">
        <f aca="false">IF(B125="","",IFERROR(INDEX(Bolos!$B:$B,MATCH(B125,Bolos!$A:$A,0))&amp;IF(C125="",""," — "&amp;C125)&amp;" — "&amp;D125&amp;" andares",""))</f>
        <v/>
      </c>
      <c r="F125" s="14"/>
      <c r="G125" s="5" t="str">
        <f aca="false">IF(B125="","",IFERROR(INDEX(Bolos!$J:$J,MATCH(B125,Bolos!$A:$A,0)),"Código não encontrado"))</f>
        <v/>
      </c>
      <c r="H125" s="5" t="str">
        <f aca="false">IF(B125="","",IF(G125="Disponível","Sim","Não"))</f>
        <v/>
      </c>
      <c r="I125" s="5" t="str">
        <f aca="false">IF(OR(B125="",D125=""),"",IFERROR(IF(AND(D125&gt;=INDEX(Bolos!$D:$D,MATCH(B125,Bolos!$A:$A,0)),D125&lt;=INDEX(Bolos!$E:$E,MATCH(B125,Bolos!$A:$A,0))),"OK","Fora do limite"),""))</f>
        <v/>
      </c>
      <c r="K125" s="14"/>
      <c r="L125" s="13" t="str">
        <f aca="false">IF(K125="","",ROUND(K125*(1-'Como usar'!$B$26),2))</f>
        <v/>
      </c>
      <c r="M125" s="5" t="str">
        <f aca="false">IF(B125="","",IF(AND(G125="Inativo",IFERROR(INDEX(Bolos!$O:$O,MATCH(B125,Bolos!$A:$A,0)),"")="Sim",K125&lt;&gt;""),"Sim","Não"))</f>
        <v/>
      </c>
      <c r="N125" s="14"/>
    </row>
    <row r="126" customFormat="false" ht="15" hidden="false" customHeight="true" outlineLevel="0" collapsed="false">
      <c r="E126" s="5" t="str">
        <f aca="false">IF(B126="","",IFERROR(INDEX(Bolos!$B:$B,MATCH(B126,Bolos!$A:$A,0))&amp;IF(C126="",""," — "&amp;C126)&amp;" — "&amp;D126&amp;" andares",""))</f>
        <v/>
      </c>
      <c r="F126" s="14"/>
      <c r="G126" s="5" t="str">
        <f aca="false">IF(B126="","",IFERROR(INDEX(Bolos!$J:$J,MATCH(B126,Bolos!$A:$A,0)),"Código não encontrado"))</f>
        <v/>
      </c>
      <c r="H126" s="5" t="str">
        <f aca="false">IF(B126="","",IF(G126="Disponível","Sim","Não"))</f>
        <v/>
      </c>
      <c r="I126" s="5" t="str">
        <f aca="false">IF(OR(B126="",D126=""),"",IFERROR(IF(AND(D126&gt;=INDEX(Bolos!$D:$D,MATCH(B126,Bolos!$A:$A,0)),D126&lt;=INDEX(Bolos!$E:$E,MATCH(B126,Bolos!$A:$A,0))),"OK","Fora do limite"),""))</f>
        <v/>
      </c>
      <c r="K126" s="14"/>
      <c r="L126" s="13" t="str">
        <f aca="false">IF(K126="","",ROUND(K126*(1-'Como usar'!$B$26),2))</f>
        <v/>
      </c>
      <c r="M126" s="5" t="str">
        <f aca="false">IF(B126="","",IF(AND(G126="Inativo",IFERROR(INDEX(Bolos!$O:$O,MATCH(B126,Bolos!$A:$A,0)),"")="Sim",K126&lt;&gt;""),"Sim","Não"))</f>
        <v/>
      </c>
      <c r="N126" s="14"/>
    </row>
    <row r="127" customFormat="false" ht="15" hidden="false" customHeight="true" outlineLevel="0" collapsed="false">
      <c r="E127" s="5" t="str">
        <f aca="false">IF(B127="","",IFERROR(INDEX(Bolos!$B:$B,MATCH(B127,Bolos!$A:$A,0))&amp;IF(C127="",""," — "&amp;C127)&amp;" — "&amp;D127&amp;" andares",""))</f>
        <v/>
      </c>
      <c r="F127" s="14"/>
      <c r="G127" s="5" t="str">
        <f aca="false">IF(B127="","",IFERROR(INDEX(Bolos!$J:$J,MATCH(B127,Bolos!$A:$A,0)),"Código não encontrado"))</f>
        <v/>
      </c>
      <c r="H127" s="5" t="str">
        <f aca="false">IF(B127="","",IF(G127="Disponível","Sim","Não"))</f>
        <v/>
      </c>
      <c r="I127" s="5" t="str">
        <f aca="false">IF(OR(B127="",D127=""),"",IFERROR(IF(AND(D127&gt;=INDEX(Bolos!$D:$D,MATCH(B127,Bolos!$A:$A,0)),D127&lt;=INDEX(Bolos!$E:$E,MATCH(B127,Bolos!$A:$A,0))),"OK","Fora do limite"),""))</f>
        <v/>
      </c>
      <c r="K127" s="14"/>
      <c r="L127" s="13" t="str">
        <f aca="false">IF(K127="","",ROUND(K127*(1-'Como usar'!$B$26),2))</f>
        <v/>
      </c>
      <c r="M127" s="5" t="str">
        <f aca="false">IF(B127="","",IF(AND(G127="Inativo",IFERROR(INDEX(Bolos!$O:$O,MATCH(B127,Bolos!$A:$A,0)),"")="Sim",K127&lt;&gt;""),"Sim","Não"))</f>
        <v/>
      </c>
      <c r="N127" s="14"/>
    </row>
    <row r="128" customFormat="false" ht="15" hidden="false" customHeight="true" outlineLevel="0" collapsed="false">
      <c r="E128" s="5" t="str">
        <f aca="false">IF(B128="","",IFERROR(INDEX(Bolos!$B:$B,MATCH(B128,Bolos!$A:$A,0))&amp;IF(C128="",""," — "&amp;C128)&amp;" — "&amp;D128&amp;" andares",""))</f>
        <v/>
      </c>
      <c r="F128" s="14"/>
      <c r="G128" s="5" t="str">
        <f aca="false">IF(B128="","",IFERROR(INDEX(Bolos!$J:$J,MATCH(B128,Bolos!$A:$A,0)),"Código não encontrado"))</f>
        <v/>
      </c>
      <c r="H128" s="5" t="str">
        <f aca="false">IF(B128="","",IF(G128="Disponível","Sim","Não"))</f>
        <v/>
      </c>
      <c r="I128" s="5" t="str">
        <f aca="false">IF(OR(B128="",D128=""),"",IFERROR(IF(AND(D128&gt;=INDEX(Bolos!$D:$D,MATCH(B128,Bolos!$A:$A,0)),D128&lt;=INDEX(Bolos!$E:$E,MATCH(B128,Bolos!$A:$A,0))),"OK","Fora do limite"),""))</f>
        <v/>
      </c>
      <c r="K128" s="14"/>
      <c r="L128" s="13" t="str">
        <f aca="false">IF(K128="","",ROUND(K128*(1-'Como usar'!$B$26),2))</f>
        <v/>
      </c>
      <c r="M128" s="5" t="str">
        <f aca="false">IF(B128="","",IF(AND(G128="Inativo",IFERROR(INDEX(Bolos!$O:$O,MATCH(B128,Bolos!$A:$A,0)),"")="Sim",K128&lt;&gt;""),"Sim","Não"))</f>
        <v/>
      </c>
      <c r="N128" s="14"/>
    </row>
    <row r="129" customFormat="false" ht="15" hidden="false" customHeight="true" outlineLevel="0" collapsed="false">
      <c r="E129" s="5" t="str">
        <f aca="false">IF(B129="","",IFERROR(INDEX(Bolos!$B:$B,MATCH(B129,Bolos!$A:$A,0))&amp;IF(C129="",""," — "&amp;C129)&amp;" — "&amp;D129&amp;" andares",""))</f>
        <v/>
      </c>
      <c r="F129" s="14"/>
      <c r="G129" s="5" t="str">
        <f aca="false">IF(B129="","",IFERROR(INDEX(Bolos!$J:$J,MATCH(B129,Bolos!$A:$A,0)),"Código não encontrado"))</f>
        <v/>
      </c>
      <c r="H129" s="5" t="str">
        <f aca="false">IF(B129="","",IF(G129="Disponível","Sim","Não"))</f>
        <v/>
      </c>
      <c r="I129" s="5" t="str">
        <f aca="false">IF(OR(B129="",D129=""),"",IFERROR(IF(AND(D129&gt;=INDEX(Bolos!$D:$D,MATCH(B129,Bolos!$A:$A,0)),D129&lt;=INDEX(Bolos!$E:$E,MATCH(B129,Bolos!$A:$A,0))),"OK","Fora do limite"),""))</f>
        <v/>
      </c>
      <c r="K129" s="14"/>
      <c r="L129" s="13" t="str">
        <f aca="false">IF(K129="","",ROUND(K129*(1-'Como usar'!$B$26),2))</f>
        <v/>
      </c>
      <c r="M129" s="5" t="str">
        <f aca="false">IF(B129="","",IF(AND(G129="Inativo",IFERROR(INDEX(Bolos!$O:$O,MATCH(B129,Bolos!$A:$A,0)),"")="Sim",K129&lt;&gt;""),"Sim","Não"))</f>
        <v/>
      </c>
      <c r="N129" s="14"/>
    </row>
    <row r="130" customFormat="false" ht="15" hidden="false" customHeight="true" outlineLevel="0" collapsed="false">
      <c r="E130" s="5" t="str">
        <f aca="false">IF(B130="","",IFERROR(INDEX(Bolos!$B:$B,MATCH(B130,Bolos!$A:$A,0))&amp;IF(C130="",""," — "&amp;C130)&amp;" — "&amp;D130&amp;" andares",""))</f>
        <v/>
      </c>
      <c r="F130" s="14"/>
      <c r="G130" s="5" t="str">
        <f aca="false">IF(B130="","",IFERROR(INDEX(Bolos!$J:$J,MATCH(B130,Bolos!$A:$A,0)),"Código não encontrado"))</f>
        <v/>
      </c>
      <c r="H130" s="5" t="str">
        <f aca="false">IF(B130="","",IF(G130="Disponível","Sim","Não"))</f>
        <v/>
      </c>
      <c r="I130" s="5" t="str">
        <f aca="false">IF(OR(B130="",D130=""),"",IFERROR(IF(AND(D130&gt;=INDEX(Bolos!$D:$D,MATCH(B130,Bolos!$A:$A,0)),D130&lt;=INDEX(Bolos!$E:$E,MATCH(B130,Bolos!$A:$A,0))),"OK","Fora do limite"),""))</f>
        <v/>
      </c>
      <c r="K130" s="14"/>
      <c r="L130" s="13" t="str">
        <f aca="false">IF(K130="","",ROUND(K130*(1-'Como usar'!$B$26),2))</f>
        <v/>
      </c>
      <c r="M130" s="5" t="str">
        <f aca="false">IF(B130="","",IF(AND(G130="Inativo",IFERROR(INDEX(Bolos!$O:$O,MATCH(B130,Bolos!$A:$A,0)),"")="Sim",K130&lt;&gt;""),"Sim","Não"))</f>
        <v/>
      </c>
      <c r="N130" s="14"/>
    </row>
    <row r="131" customFormat="false" ht="15" hidden="false" customHeight="true" outlineLevel="0" collapsed="false">
      <c r="E131" s="5" t="str">
        <f aca="false">IF(B131="","",IFERROR(INDEX(Bolos!$B:$B,MATCH(B131,Bolos!$A:$A,0))&amp;IF(C131="",""," — "&amp;C131)&amp;" — "&amp;D131&amp;" andares",""))</f>
        <v/>
      </c>
      <c r="F131" s="14"/>
      <c r="G131" s="5" t="str">
        <f aca="false">IF(B131="","",IFERROR(INDEX(Bolos!$J:$J,MATCH(B131,Bolos!$A:$A,0)),"Código não encontrado"))</f>
        <v/>
      </c>
      <c r="H131" s="5" t="str">
        <f aca="false">IF(B131="","",IF(G131="Disponível","Sim","Não"))</f>
        <v/>
      </c>
      <c r="I131" s="5" t="str">
        <f aca="false">IF(OR(B131="",D131=""),"",IFERROR(IF(AND(D131&gt;=INDEX(Bolos!$D:$D,MATCH(B131,Bolos!$A:$A,0)),D131&lt;=INDEX(Bolos!$E:$E,MATCH(B131,Bolos!$A:$A,0))),"OK","Fora do limite"),""))</f>
        <v/>
      </c>
      <c r="K131" s="14"/>
      <c r="L131" s="13" t="str">
        <f aca="false">IF(K131="","",ROUND(K131*(1-'Como usar'!$B$26),2))</f>
        <v/>
      </c>
      <c r="M131" s="5" t="str">
        <f aca="false">IF(B131="","",IF(AND(G131="Inativo",IFERROR(INDEX(Bolos!$O:$O,MATCH(B131,Bolos!$A:$A,0)),"")="Sim",K131&lt;&gt;""),"Sim","Não"))</f>
        <v/>
      </c>
      <c r="N131" s="14"/>
    </row>
    <row r="132" customFormat="false" ht="15" hidden="false" customHeight="true" outlineLevel="0" collapsed="false">
      <c r="E132" s="5" t="str">
        <f aca="false">IF(B132="","",IFERROR(INDEX(Bolos!$B:$B,MATCH(B132,Bolos!$A:$A,0))&amp;IF(C132="",""," — "&amp;C132)&amp;" — "&amp;D132&amp;" andares",""))</f>
        <v/>
      </c>
      <c r="F132" s="14"/>
      <c r="G132" s="5" t="str">
        <f aca="false">IF(B132="","",IFERROR(INDEX(Bolos!$J:$J,MATCH(B132,Bolos!$A:$A,0)),"Código não encontrado"))</f>
        <v/>
      </c>
      <c r="H132" s="5" t="str">
        <f aca="false">IF(B132="","",IF(G132="Disponível","Sim","Não"))</f>
        <v/>
      </c>
      <c r="I132" s="5" t="str">
        <f aca="false">IF(OR(B132="",D132=""),"",IFERROR(IF(AND(D132&gt;=INDEX(Bolos!$D:$D,MATCH(B132,Bolos!$A:$A,0)),D132&lt;=INDEX(Bolos!$E:$E,MATCH(B132,Bolos!$A:$A,0))),"OK","Fora do limite"),""))</f>
        <v/>
      </c>
      <c r="K132" s="14"/>
      <c r="L132" s="13" t="str">
        <f aca="false">IF(K132="","",ROUND(K132*(1-'Como usar'!$B$26),2))</f>
        <v/>
      </c>
      <c r="M132" s="5" t="str">
        <f aca="false">IF(B132="","",IF(AND(G132="Inativo",IFERROR(INDEX(Bolos!$O:$O,MATCH(B132,Bolos!$A:$A,0)),"")="Sim",K132&lt;&gt;""),"Sim","Não"))</f>
        <v/>
      </c>
      <c r="N132" s="14"/>
    </row>
    <row r="133" customFormat="false" ht="15" hidden="false" customHeight="true" outlineLevel="0" collapsed="false">
      <c r="E133" s="5" t="str">
        <f aca="false">IF(B133="","",IFERROR(INDEX(Bolos!$B:$B,MATCH(B133,Bolos!$A:$A,0))&amp;IF(C133="",""," — "&amp;C133)&amp;" — "&amp;D133&amp;" andares",""))</f>
        <v/>
      </c>
      <c r="F133" s="14"/>
      <c r="G133" s="5" t="str">
        <f aca="false">IF(B133="","",IFERROR(INDEX(Bolos!$J:$J,MATCH(B133,Bolos!$A:$A,0)),"Código não encontrado"))</f>
        <v/>
      </c>
      <c r="H133" s="5" t="str">
        <f aca="false">IF(B133="","",IF(G133="Disponível","Sim","Não"))</f>
        <v/>
      </c>
      <c r="I133" s="5" t="str">
        <f aca="false">IF(OR(B133="",D133=""),"",IFERROR(IF(AND(D133&gt;=INDEX(Bolos!$D:$D,MATCH(B133,Bolos!$A:$A,0)),D133&lt;=INDEX(Bolos!$E:$E,MATCH(B133,Bolos!$A:$A,0))),"OK","Fora do limite"),""))</f>
        <v/>
      </c>
      <c r="K133" s="14"/>
      <c r="L133" s="13" t="str">
        <f aca="false">IF(K133="","",ROUND(K133*(1-'Como usar'!$B$26),2))</f>
        <v/>
      </c>
      <c r="M133" s="5" t="str">
        <f aca="false">IF(B133="","",IF(AND(G133="Inativo",IFERROR(INDEX(Bolos!$O:$O,MATCH(B133,Bolos!$A:$A,0)),"")="Sim",K133&lt;&gt;""),"Sim","Não"))</f>
        <v/>
      </c>
      <c r="N133" s="14"/>
    </row>
    <row r="134" customFormat="false" ht="15" hidden="false" customHeight="true" outlineLevel="0" collapsed="false">
      <c r="E134" s="5" t="str">
        <f aca="false">IF(B134="","",IFERROR(INDEX(Bolos!$B:$B,MATCH(B134,Bolos!$A:$A,0))&amp;IF(C134="",""," — "&amp;C134)&amp;" — "&amp;D134&amp;" andares",""))</f>
        <v/>
      </c>
      <c r="F134" s="14"/>
      <c r="G134" s="5" t="str">
        <f aca="false">IF(B134="","",IFERROR(INDEX(Bolos!$J:$J,MATCH(B134,Bolos!$A:$A,0)),"Código não encontrado"))</f>
        <v/>
      </c>
      <c r="H134" s="5" t="str">
        <f aca="false">IF(B134="","",IF(G134="Disponível","Sim","Não"))</f>
        <v/>
      </c>
      <c r="I134" s="5" t="str">
        <f aca="false">IF(OR(B134="",D134=""),"",IFERROR(IF(AND(D134&gt;=INDEX(Bolos!$D:$D,MATCH(B134,Bolos!$A:$A,0)),D134&lt;=INDEX(Bolos!$E:$E,MATCH(B134,Bolos!$A:$A,0))),"OK","Fora do limite"),""))</f>
        <v/>
      </c>
      <c r="K134" s="14"/>
      <c r="L134" s="13" t="str">
        <f aca="false">IF(K134="","",ROUND(K134*(1-'Como usar'!$B$26),2))</f>
        <v/>
      </c>
      <c r="M134" s="5" t="str">
        <f aca="false">IF(B134="","",IF(AND(G134="Inativo",IFERROR(INDEX(Bolos!$O:$O,MATCH(B134,Bolos!$A:$A,0)),"")="Sim",K134&lt;&gt;""),"Sim","Não"))</f>
        <v/>
      </c>
      <c r="N134" s="14"/>
    </row>
    <row r="135" customFormat="false" ht="15" hidden="false" customHeight="true" outlineLevel="0" collapsed="false">
      <c r="E135" s="5" t="str">
        <f aca="false">IF(B135="","",IFERROR(INDEX(Bolos!$B:$B,MATCH(B135,Bolos!$A:$A,0))&amp;IF(C135="",""," — "&amp;C135)&amp;" — "&amp;D135&amp;" andares",""))</f>
        <v/>
      </c>
      <c r="F135" s="14"/>
      <c r="G135" s="5" t="str">
        <f aca="false">IF(B135="","",IFERROR(INDEX(Bolos!$J:$J,MATCH(B135,Bolos!$A:$A,0)),"Código não encontrado"))</f>
        <v/>
      </c>
      <c r="H135" s="5" t="str">
        <f aca="false">IF(B135="","",IF(G135="Disponível","Sim","Não"))</f>
        <v/>
      </c>
      <c r="I135" s="5" t="str">
        <f aca="false">IF(OR(B135="",D135=""),"",IFERROR(IF(AND(D135&gt;=INDEX(Bolos!$D:$D,MATCH(B135,Bolos!$A:$A,0)),D135&lt;=INDEX(Bolos!$E:$E,MATCH(B135,Bolos!$A:$A,0))),"OK","Fora do limite"),""))</f>
        <v/>
      </c>
      <c r="K135" s="14"/>
      <c r="L135" s="13" t="str">
        <f aca="false">IF(K135="","",ROUND(K135*(1-'Como usar'!$B$26),2))</f>
        <v/>
      </c>
      <c r="M135" s="5" t="str">
        <f aca="false">IF(B135="","",IF(AND(G135="Inativo",IFERROR(INDEX(Bolos!$O:$O,MATCH(B135,Bolos!$A:$A,0)),"")="Sim",K135&lt;&gt;""),"Sim","Não"))</f>
        <v/>
      </c>
      <c r="N135" s="14"/>
    </row>
    <row r="136" customFormat="false" ht="15" hidden="false" customHeight="true" outlineLevel="0" collapsed="false">
      <c r="E136" s="5" t="str">
        <f aca="false">IF(B136="","",IFERROR(INDEX(Bolos!$B:$B,MATCH(B136,Bolos!$A:$A,0))&amp;IF(C136="",""," — "&amp;C136)&amp;" — "&amp;D136&amp;" andares",""))</f>
        <v/>
      </c>
      <c r="F136" s="14"/>
      <c r="G136" s="5" t="str">
        <f aca="false">IF(B136="","",IFERROR(INDEX(Bolos!$J:$J,MATCH(B136,Bolos!$A:$A,0)),"Código não encontrado"))</f>
        <v/>
      </c>
      <c r="H136" s="5" t="str">
        <f aca="false">IF(B136="","",IF(G136="Disponível","Sim","Não"))</f>
        <v/>
      </c>
      <c r="I136" s="5" t="str">
        <f aca="false">IF(OR(B136="",D136=""),"",IFERROR(IF(AND(D136&gt;=INDEX(Bolos!$D:$D,MATCH(B136,Bolos!$A:$A,0)),D136&lt;=INDEX(Bolos!$E:$E,MATCH(B136,Bolos!$A:$A,0))),"OK","Fora do limite"),""))</f>
        <v/>
      </c>
      <c r="K136" s="14"/>
      <c r="L136" s="13" t="str">
        <f aca="false">IF(K136="","",ROUND(K136*(1-'Como usar'!$B$26),2))</f>
        <v/>
      </c>
      <c r="M136" s="5" t="str">
        <f aca="false">IF(B136="","",IF(AND(G136="Inativo",IFERROR(INDEX(Bolos!$O:$O,MATCH(B136,Bolos!$A:$A,0)),"")="Sim",K136&lt;&gt;""),"Sim","Não"))</f>
        <v/>
      </c>
      <c r="N136" s="14"/>
    </row>
    <row r="137" customFormat="false" ht="15" hidden="false" customHeight="true" outlineLevel="0" collapsed="false">
      <c r="E137" s="5" t="str">
        <f aca="false">IF(B137="","",IFERROR(INDEX(Bolos!$B:$B,MATCH(B137,Bolos!$A:$A,0))&amp;IF(C137="",""," — "&amp;C137)&amp;" — "&amp;D137&amp;" andares",""))</f>
        <v/>
      </c>
      <c r="F137" s="14"/>
      <c r="G137" s="5" t="str">
        <f aca="false">IF(B137="","",IFERROR(INDEX(Bolos!$J:$J,MATCH(B137,Bolos!$A:$A,0)),"Código não encontrado"))</f>
        <v/>
      </c>
      <c r="H137" s="5" t="str">
        <f aca="false">IF(B137="","",IF(G137="Disponível","Sim","Não"))</f>
        <v/>
      </c>
      <c r="I137" s="5" t="str">
        <f aca="false">IF(OR(B137="",D137=""),"",IFERROR(IF(AND(D137&gt;=INDEX(Bolos!$D:$D,MATCH(B137,Bolos!$A:$A,0)),D137&lt;=INDEX(Bolos!$E:$E,MATCH(B137,Bolos!$A:$A,0))),"OK","Fora do limite"),""))</f>
        <v/>
      </c>
      <c r="K137" s="14"/>
      <c r="L137" s="13" t="str">
        <f aca="false">IF(K137="","",ROUND(K137*(1-'Como usar'!$B$26),2))</f>
        <v/>
      </c>
      <c r="M137" s="5" t="str">
        <f aca="false">IF(B137="","",IF(AND(G137="Inativo",IFERROR(INDEX(Bolos!$O:$O,MATCH(B137,Bolos!$A:$A,0)),"")="Sim",K137&lt;&gt;""),"Sim","Não"))</f>
        <v/>
      </c>
      <c r="N137" s="14"/>
    </row>
    <row r="138" customFormat="false" ht="15" hidden="false" customHeight="true" outlineLevel="0" collapsed="false">
      <c r="E138" s="5" t="str">
        <f aca="false">IF(B138="","",IFERROR(INDEX(Bolos!$B:$B,MATCH(B138,Bolos!$A:$A,0))&amp;IF(C138="",""," — "&amp;C138)&amp;" — "&amp;D138&amp;" andares",""))</f>
        <v/>
      </c>
      <c r="F138" s="14"/>
      <c r="G138" s="5" t="str">
        <f aca="false">IF(B138="","",IFERROR(INDEX(Bolos!$J:$J,MATCH(B138,Bolos!$A:$A,0)),"Código não encontrado"))</f>
        <v/>
      </c>
      <c r="H138" s="5" t="str">
        <f aca="false">IF(B138="","",IF(G138="Disponível","Sim","Não"))</f>
        <v/>
      </c>
      <c r="I138" s="5" t="str">
        <f aca="false">IF(OR(B138="",D138=""),"",IFERROR(IF(AND(D138&gt;=INDEX(Bolos!$D:$D,MATCH(B138,Bolos!$A:$A,0)),D138&lt;=INDEX(Bolos!$E:$E,MATCH(B138,Bolos!$A:$A,0))),"OK","Fora do limite"),""))</f>
        <v/>
      </c>
      <c r="K138" s="14"/>
      <c r="L138" s="13" t="str">
        <f aca="false">IF(K138="","",ROUND(K138*(1-'Como usar'!$B$26),2))</f>
        <v/>
      </c>
      <c r="M138" s="5" t="str">
        <f aca="false">IF(B138="","",IF(AND(G138="Inativo",IFERROR(INDEX(Bolos!$O:$O,MATCH(B138,Bolos!$A:$A,0)),"")="Sim",K138&lt;&gt;""),"Sim","Não"))</f>
        <v/>
      </c>
      <c r="N138" s="14"/>
    </row>
    <row r="139" customFormat="false" ht="15" hidden="false" customHeight="true" outlineLevel="0" collapsed="false">
      <c r="E139" s="5" t="str">
        <f aca="false">IF(B139="","",IFERROR(INDEX(Bolos!$B:$B,MATCH(B139,Bolos!$A:$A,0))&amp;IF(C139="",""," — "&amp;C139)&amp;" — "&amp;D139&amp;" andares",""))</f>
        <v/>
      </c>
      <c r="F139" s="14"/>
      <c r="G139" s="5" t="str">
        <f aca="false">IF(B139="","",IFERROR(INDEX(Bolos!$J:$J,MATCH(B139,Bolos!$A:$A,0)),"Código não encontrado"))</f>
        <v/>
      </c>
      <c r="H139" s="5" t="str">
        <f aca="false">IF(B139="","",IF(G139="Disponível","Sim","Não"))</f>
        <v/>
      </c>
      <c r="I139" s="5" t="str">
        <f aca="false">IF(OR(B139="",D139=""),"",IFERROR(IF(AND(D139&gt;=INDEX(Bolos!$D:$D,MATCH(B139,Bolos!$A:$A,0)),D139&lt;=INDEX(Bolos!$E:$E,MATCH(B139,Bolos!$A:$A,0))),"OK","Fora do limite"),""))</f>
        <v/>
      </c>
      <c r="K139" s="14"/>
      <c r="L139" s="13" t="str">
        <f aca="false">IF(K139="","",ROUND(K139*(1-'Como usar'!$B$26),2))</f>
        <v/>
      </c>
      <c r="M139" s="5" t="str">
        <f aca="false">IF(B139="","",IF(AND(G139="Inativo",IFERROR(INDEX(Bolos!$O:$O,MATCH(B139,Bolos!$A:$A,0)),"")="Sim",K139&lt;&gt;""),"Sim","Não"))</f>
        <v/>
      </c>
      <c r="N139" s="14"/>
    </row>
    <row r="140" customFormat="false" ht="15" hidden="false" customHeight="true" outlineLevel="0" collapsed="false">
      <c r="E140" s="5" t="str">
        <f aca="false">IF(B140="","",IFERROR(INDEX(Bolos!$B:$B,MATCH(B140,Bolos!$A:$A,0))&amp;IF(C140="",""," — "&amp;C140)&amp;" — "&amp;D140&amp;" andares",""))</f>
        <v/>
      </c>
      <c r="F140" s="14"/>
      <c r="G140" s="5" t="str">
        <f aca="false">IF(B140="","",IFERROR(INDEX(Bolos!$J:$J,MATCH(B140,Bolos!$A:$A,0)),"Código não encontrado"))</f>
        <v/>
      </c>
      <c r="H140" s="5" t="str">
        <f aca="false">IF(B140="","",IF(G140="Disponível","Sim","Não"))</f>
        <v/>
      </c>
      <c r="I140" s="5" t="str">
        <f aca="false">IF(OR(B140="",D140=""),"",IFERROR(IF(AND(D140&gt;=INDEX(Bolos!$D:$D,MATCH(B140,Bolos!$A:$A,0)),D140&lt;=INDEX(Bolos!$E:$E,MATCH(B140,Bolos!$A:$A,0))),"OK","Fora do limite"),""))</f>
        <v/>
      </c>
      <c r="K140" s="14"/>
      <c r="L140" s="13" t="str">
        <f aca="false">IF(K140="","",ROUND(K140*(1-'Como usar'!$B$26),2))</f>
        <v/>
      </c>
      <c r="M140" s="5" t="str">
        <f aca="false">IF(B140="","",IF(AND(G140="Inativo",IFERROR(INDEX(Bolos!$O:$O,MATCH(B140,Bolos!$A:$A,0)),"")="Sim",K140&lt;&gt;""),"Sim","Não"))</f>
        <v/>
      </c>
      <c r="N140" s="14"/>
    </row>
    <row r="141" customFormat="false" ht="15" hidden="false" customHeight="true" outlineLevel="0" collapsed="false">
      <c r="E141" s="5" t="str">
        <f aca="false">IF(B141="","",IFERROR(INDEX(Bolos!$B:$B,MATCH(B141,Bolos!$A:$A,0))&amp;IF(C141="",""," — "&amp;C141)&amp;" — "&amp;D141&amp;" andares",""))</f>
        <v/>
      </c>
      <c r="F141" s="14"/>
      <c r="G141" s="5" t="str">
        <f aca="false">IF(B141="","",IFERROR(INDEX(Bolos!$J:$J,MATCH(B141,Bolos!$A:$A,0)),"Código não encontrado"))</f>
        <v/>
      </c>
      <c r="H141" s="5" t="str">
        <f aca="false">IF(B141="","",IF(G141="Disponível","Sim","Não"))</f>
        <v/>
      </c>
      <c r="I141" s="5" t="str">
        <f aca="false">IF(OR(B141="",D141=""),"",IFERROR(IF(AND(D141&gt;=INDEX(Bolos!$D:$D,MATCH(B141,Bolos!$A:$A,0)),D141&lt;=INDEX(Bolos!$E:$E,MATCH(B141,Bolos!$A:$A,0))),"OK","Fora do limite"),""))</f>
        <v/>
      </c>
      <c r="K141" s="14"/>
      <c r="L141" s="13" t="str">
        <f aca="false">IF(K141="","",ROUND(K141*(1-'Como usar'!$B$26),2))</f>
        <v/>
      </c>
      <c r="M141" s="5" t="str">
        <f aca="false">IF(B141="","",IF(AND(G141="Inativo",IFERROR(INDEX(Bolos!$O:$O,MATCH(B141,Bolos!$A:$A,0)),"")="Sim",K141&lt;&gt;""),"Sim","Não"))</f>
        <v/>
      </c>
      <c r="N141" s="14"/>
    </row>
    <row r="142" customFormat="false" ht="15" hidden="false" customHeight="true" outlineLevel="0" collapsed="false">
      <c r="E142" s="5" t="str">
        <f aca="false">IF(B142="","",IFERROR(INDEX(Bolos!$B:$B,MATCH(B142,Bolos!$A:$A,0))&amp;IF(C142="",""," — "&amp;C142)&amp;" — "&amp;D142&amp;" andares",""))</f>
        <v/>
      </c>
      <c r="F142" s="14"/>
      <c r="G142" s="5" t="str">
        <f aca="false">IF(B142="","",IFERROR(INDEX(Bolos!$J:$J,MATCH(B142,Bolos!$A:$A,0)),"Código não encontrado"))</f>
        <v/>
      </c>
      <c r="H142" s="5" t="str">
        <f aca="false">IF(B142="","",IF(G142="Disponível","Sim","Não"))</f>
        <v/>
      </c>
      <c r="I142" s="5" t="str">
        <f aca="false">IF(OR(B142="",D142=""),"",IFERROR(IF(AND(D142&gt;=INDEX(Bolos!$D:$D,MATCH(B142,Bolos!$A:$A,0)),D142&lt;=INDEX(Bolos!$E:$E,MATCH(B142,Bolos!$A:$A,0))),"OK","Fora do limite"),""))</f>
        <v/>
      </c>
      <c r="K142" s="14"/>
      <c r="L142" s="13" t="str">
        <f aca="false">IF(K142="","",ROUND(K142*(1-'Como usar'!$B$26),2))</f>
        <v/>
      </c>
      <c r="M142" s="5" t="str">
        <f aca="false">IF(B142="","",IF(AND(G142="Inativo",IFERROR(INDEX(Bolos!$O:$O,MATCH(B142,Bolos!$A:$A,0)),"")="Sim",K142&lt;&gt;""),"Sim","Não"))</f>
        <v/>
      </c>
      <c r="N142" s="14"/>
    </row>
    <row r="143" customFormat="false" ht="15" hidden="false" customHeight="true" outlineLevel="0" collapsed="false">
      <c r="E143" s="5" t="str">
        <f aca="false">IF(B143="","",IFERROR(INDEX(Bolos!$B:$B,MATCH(B143,Bolos!$A:$A,0))&amp;IF(C143="",""," — "&amp;C143)&amp;" — "&amp;D143&amp;" andares",""))</f>
        <v/>
      </c>
      <c r="F143" s="14"/>
      <c r="G143" s="5" t="str">
        <f aca="false">IF(B143="","",IFERROR(INDEX(Bolos!$J:$J,MATCH(B143,Bolos!$A:$A,0)),"Código não encontrado"))</f>
        <v/>
      </c>
      <c r="H143" s="5" t="str">
        <f aca="false">IF(B143="","",IF(G143="Disponível","Sim","Não"))</f>
        <v/>
      </c>
      <c r="I143" s="5" t="str">
        <f aca="false">IF(OR(B143="",D143=""),"",IFERROR(IF(AND(D143&gt;=INDEX(Bolos!$D:$D,MATCH(B143,Bolos!$A:$A,0)),D143&lt;=INDEX(Bolos!$E:$E,MATCH(B143,Bolos!$A:$A,0))),"OK","Fora do limite"),""))</f>
        <v/>
      </c>
      <c r="K143" s="14"/>
      <c r="L143" s="13" t="str">
        <f aca="false">IF(K143="","",ROUND(K143*(1-'Como usar'!$B$26),2))</f>
        <v/>
      </c>
      <c r="M143" s="5" t="str">
        <f aca="false">IF(B143="","",IF(AND(G143="Inativo",IFERROR(INDEX(Bolos!$O:$O,MATCH(B143,Bolos!$A:$A,0)),"")="Sim",K143&lt;&gt;""),"Sim","Não"))</f>
        <v/>
      </c>
      <c r="N143" s="14"/>
    </row>
    <row r="144" customFormat="false" ht="15" hidden="false" customHeight="true" outlineLevel="0" collapsed="false">
      <c r="E144" s="5" t="str">
        <f aca="false">IF(B144="","",IFERROR(INDEX(Bolos!$B:$B,MATCH(B144,Bolos!$A:$A,0))&amp;IF(C144="",""," — "&amp;C144)&amp;" — "&amp;D144&amp;" andares",""))</f>
        <v/>
      </c>
      <c r="F144" s="14"/>
      <c r="G144" s="5" t="str">
        <f aca="false">IF(B144="","",IFERROR(INDEX(Bolos!$J:$J,MATCH(B144,Bolos!$A:$A,0)),"Código não encontrado"))</f>
        <v/>
      </c>
      <c r="H144" s="5" t="str">
        <f aca="false">IF(B144="","",IF(G144="Disponível","Sim","Não"))</f>
        <v/>
      </c>
      <c r="I144" s="5" t="str">
        <f aca="false">IF(OR(B144="",D144=""),"",IFERROR(IF(AND(D144&gt;=INDEX(Bolos!$D:$D,MATCH(B144,Bolos!$A:$A,0)),D144&lt;=INDEX(Bolos!$E:$E,MATCH(B144,Bolos!$A:$A,0))),"OK","Fora do limite"),""))</f>
        <v/>
      </c>
      <c r="K144" s="14"/>
      <c r="L144" s="13" t="str">
        <f aca="false">IF(K144="","",ROUND(K144*(1-'Como usar'!$B$26),2))</f>
        <v/>
      </c>
      <c r="M144" s="5" t="str">
        <f aca="false">IF(B144="","",IF(AND(G144="Inativo",IFERROR(INDEX(Bolos!$O:$O,MATCH(B144,Bolos!$A:$A,0)),"")="Sim",K144&lt;&gt;""),"Sim","Não"))</f>
        <v/>
      </c>
      <c r="N144" s="14"/>
    </row>
    <row r="145" customFormat="false" ht="15" hidden="false" customHeight="true" outlineLevel="0" collapsed="false">
      <c r="E145" s="5" t="str">
        <f aca="false">IF(B145="","",IFERROR(INDEX(Bolos!$B:$B,MATCH(B145,Bolos!$A:$A,0))&amp;IF(C145="",""," — "&amp;C145)&amp;" — "&amp;D145&amp;" andares",""))</f>
        <v/>
      </c>
      <c r="F145" s="14"/>
      <c r="G145" s="5" t="str">
        <f aca="false">IF(B145="","",IFERROR(INDEX(Bolos!$J:$J,MATCH(B145,Bolos!$A:$A,0)),"Código não encontrado"))</f>
        <v/>
      </c>
      <c r="H145" s="5" t="str">
        <f aca="false">IF(B145="","",IF(G145="Disponível","Sim","Não"))</f>
        <v/>
      </c>
      <c r="I145" s="5" t="str">
        <f aca="false">IF(OR(B145="",D145=""),"",IFERROR(IF(AND(D145&gt;=INDEX(Bolos!$D:$D,MATCH(B145,Bolos!$A:$A,0)),D145&lt;=INDEX(Bolos!$E:$E,MATCH(B145,Bolos!$A:$A,0))),"OK","Fora do limite"),""))</f>
        <v/>
      </c>
      <c r="K145" s="14"/>
      <c r="L145" s="13" t="str">
        <f aca="false">IF(K145="","",ROUND(K145*(1-'Como usar'!$B$26),2))</f>
        <v/>
      </c>
      <c r="M145" s="5" t="str">
        <f aca="false">IF(B145="","",IF(AND(G145="Inativo",IFERROR(INDEX(Bolos!$O:$O,MATCH(B145,Bolos!$A:$A,0)),"")="Sim",K145&lt;&gt;""),"Sim","Não"))</f>
        <v/>
      </c>
      <c r="N145" s="14"/>
    </row>
    <row r="146" customFormat="false" ht="15" hidden="false" customHeight="true" outlineLevel="0" collapsed="false">
      <c r="E146" s="5" t="str">
        <f aca="false">IF(B146="","",IFERROR(INDEX(Bolos!$B:$B,MATCH(B146,Bolos!$A:$A,0))&amp;IF(C146="",""," — "&amp;C146)&amp;" — "&amp;D146&amp;" andares",""))</f>
        <v/>
      </c>
      <c r="F146" s="14"/>
      <c r="G146" s="5" t="str">
        <f aca="false">IF(B146="","",IFERROR(INDEX(Bolos!$J:$J,MATCH(B146,Bolos!$A:$A,0)),"Código não encontrado"))</f>
        <v/>
      </c>
      <c r="H146" s="5" t="str">
        <f aca="false">IF(B146="","",IF(G146="Disponível","Sim","Não"))</f>
        <v/>
      </c>
      <c r="I146" s="5" t="str">
        <f aca="false">IF(OR(B146="",D146=""),"",IFERROR(IF(AND(D146&gt;=INDEX(Bolos!$D:$D,MATCH(B146,Bolos!$A:$A,0)),D146&lt;=INDEX(Bolos!$E:$E,MATCH(B146,Bolos!$A:$A,0))),"OK","Fora do limite"),""))</f>
        <v/>
      </c>
      <c r="K146" s="14"/>
      <c r="L146" s="13" t="str">
        <f aca="false">IF(K146="","",ROUND(K146*(1-'Como usar'!$B$26),2))</f>
        <v/>
      </c>
      <c r="M146" s="5" t="str">
        <f aca="false">IF(B146="","",IF(AND(G146="Inativo",IFERROR(INDEX(Bolos!$O:$O,MATCH(B146,Bolos!$A:$A,0)),"")="Sim",K146&lt;&gt;""),"Sim","Não"))</f>
        <v/>
      </c>
      <c r="N146" s="14"/>
    </row>
    <row r="147" customFormat="false" ht="15" hidden="false" customHeight="true" outlineLevel="0" collapsed="false">
      <c r="E147" s="5" t="str">
        <f aca="false">IF(B147="","",IFERROR(INDEX(Bolos!$B:$B,MATCH(B147,Bolos!$A:$A,0))&amp;IF(C147="",""," — "&amp;C147)&amp;" — "&amp;D147&amp;" andares",""))</f>
        <v/>
      </c>
      <c r="F147" s="14"/>
      <c r="G147" s="5" t="str">
        <f aca="false">IF(B147="","",IFERROR(INDEX(Bolos!$J:$J,MATCH(B147,Bolos!$A:$A,0)),"Código não encontrado"))</f>
        <v/>
      </c>
      <c r="H147" s="5" t="str">
        <f aca="false">IF(B147="","",IF(G147="Disponível","Sim","Não"))</f>
        <v/>
      </c>
      <c r="I147" s="5" t="str">
        <f aca="false">IF(OR(B147="",D147=""),"",IFERROR(IF(AND(D147&gt;=INDEX(Bolos!$D:$D,MATCH(B147,Bolos!$A:$A,0)),D147&lt;=INDEX(Bolos!$E:$E,MATCH(B147,Bolos!$A:$A,0))),"OK","Fora do limite"),""))</f>
        <v/>
      </c>
      <c r="K147" s="14"/>
      <c r="L147" s="13" t="str">
        <f aca="false">IF(K147="","",ROUND(K147*(1-'Como usar'!$B$26),2))</f>
        <v/>
      </c>
      <c r="M147" s="5" t="str">
        <f aca="false">IF(B147="","",IF(AND(G147="Inativo",IFERROR(INDEX(Bolos!$O:$O,MATCH(B147,Bolos!$A:$A,0)),"")="Sim",K147&lt;&gt;""),"Sim","Não"))</f>
        <v/>
      </c>
      <c r="N147" s="14"/>
    </row>
    <row r="148" customFormat="false" ht="15" hidden="false" customHeight="true" outlineLevel="0" collapsed="false">
      <c r="E148" s="5" t="str">
        <f aca="false">IF(B148="","",IFERROR(INDEX(Bolos!$B:$B,MATCH(B148,Bolos!$A:$A,0))&amp;IF(C148="",""," — "&amp;C148)&amp;" — "&amp;D148&amp;" andares",""))</f>
        <v/>
      </c>
      <c r="F148" s="14"/>
      <c r="G148" s="5" t="str">
        <f aca="false">IF(B148="","",IFERROR(INDEX(Bolos!$J:$J,MATCH(B148,Bolos!$A:$A,0)),"Código não encontrado"))</f>
        <v/>
      </c>
      <c r="H148" s="5" t="str">
        <f aca="false">IF(B148="","",IF(G148="Disponível","Sim","Não"))</f>
        <v/>
      </c>
      <c r="I148" s="5" t="str">
        <f aca="false">IF(OR(B148="",D148=""),"",IFERROR(IF(AND(D148&gt;=INDEX(Bolos!$D:$D,MATCH(B148,Bolos!$A:$A,0)),D148&lt;=INDEX(Bolos!$E:$E,MATCH(B148,Bolos!$A:$A,0))),"OK","Fora do limite"),""))</f>
        <v/>
      </c>
      <c r="K148" s="14"/>
      <c r="L148" s="13" t="str">
        <f aca="false">IF(K148="","",ROUND(K148*(1-'Como usar'!$B$26),2))</f>
        <v/>
      </c>
      <c r="M148" s="5" t="str">
        <f aca="false">IF(B148="","",IF(AND(G148="Inativo",IFERROR(INDEX(Bolos!$O:$O,MATCH(B148,Bolos!$A:$A,0)),"")="Sim",K148&lt;&gt;""),"Sim","Não"))</f>
        <v/>
      </c>
      <c r="N148" s="14"/>
    </row>
    <row r="149" customFormat="false" ht="15" hidden="false" customHeight="true" outlineLevel="0" collapsed="false">
      <c r="E149" s="5" t="str">
        <f aca="false">IF(B149="","",IFERROR(INDEX(Bolos!$B:$B,MATCH(B149,Bolos!$A:$A,0))&amp;IF(C149="",""," — "&amp;C149)&amp;" — "&amp;D149&amp;" andares",""))</f>
        <v/>
      </c>
      <c r="F149" s="14"/>
      <c r="G149" s="5" t="str">
        <f aca="false">IF(B149="","",IFERROR(INDEX(Bolos!$J:$J,MATCH(B149,Bolos!$A:$A,0)),"Código não encontrado"))</f>
        <v/>
      </c>
      <c r="H149" s="5" t="str">
        <f aca="false">IF(B149="","",IF(G149="Disponível","Sim","Não"))</f>
        <v/>
      </c>
      <c r="I149" s="5" t="str">
        <f aca="false">IF(OR(B149="",D149=""),"",IFERROR(IF(AND(D149&gt;=INDEX(Bolos!$D:$D,MATCH(B149,Bolos!$A:$A,0)),D149&lt;=INDEX(Bolos!$E:$E,MATCH(B149,Bolos!$A:$A,0))),"OK","Fora do limite"),""))</f>
        <v/>
      </c>
      <c r="K149" s="14"/>
      <c r="L149" s="13" t="str">
        <f aca="false">IF(K149="","",ROUND(K149*(1-'Como usar'!$B$26),2))</f>
        <v/>
      </c>
      <c r="M149" s="5" t="str">
        <f aca="false">IF(B149="","",IF(AND(G149="Inativo",IFERROR(INDEX(Bolos!$O:$O,MATCH(B149,Bolos!$A:$A,0)),"")="Sim",K149&lt;&gt;""),"Sim","Não"))</f>
        <v/>
      </c>
      <c r="N149" s="14"/>
    </row>
    <row r="150" customFormat="false" ht="15" hidden="false" customHeight="true" outlineLevel="0" collapsed="false">
      <c r="E150" s="5" t="str">
        <f aca="false">IF(B150="","",IFERROR(INDEX(Bolos!$B:$B,MATCH(B150,Bolos!$A:$A,0))&amp;IF(C150="",""," — "&amp;C150)&amp;" — "&amp;D150&amp;" andares",""))</f>
        <v/>
      </c>
      <c r="F150" s="14"/>
      <c r="G150" s="5" t="str">
        <f aca="false">IF(B150="","",IFERROR(INDEX(Bolos!$J:$J,MATCH(B150,Bolos!$A:$A,0)),"Código não encontrado"))</f>
        <v/>
      </c>
      <c r="H150" s="5" t="str">
        <f aca="false">IF(B150="","",IF(G150="Disponível","Sim","Não"))</f>
        <v/>
      </c>
      <c r="I150" s="5" t="str">
        <f aca="false">IF(OR(B150="",D150=""),"",IFERROR(IF(AND(D150&gt;=INDEX(Bolos!$D:$D,MATCH(B150,Bolos!$A:$A,0)),D150&lt;=INDEX(Bolos!$E:$E,MATCH(B150,Bolos!$A:$A,0))),"OK","Fora do limite"),""))</f>
        <v/>
      </c>
      <c r="K150" s="14"/>
      <c r="L150" s="13" t="str">
        <f aca="false">IF(K150="","",ROUND(K150*(1-'Como usar'!$B$26),2))</f>
        <v/>
      </c>
      <c r="M150" s="5" t="str">
        <f aca="false">IF(B150="","",IF(AND(G150="Inativo",IFERROR(INDEX(Bolos!$O:$O,MATCH(B150,Bolos!$A:$A,0)),"")="Sim",K150&lt;&gt;""),"Sim","Não"))</f>
        <v/>
      </c>
      <c r="N150" s="14"/>
    </row>
    <row r="151" customFormat="false" ht="15" hidden="false" customHeight="true" outlineLevel="0" collapsed="false">
      <c r="E151" s="5" t="str">
        <f aca="false">IF(B151="","",IFERROR(INDEX(Bolos!$B:$B,MATCH(B151,Bolos!$A:$A,0))&amp;IF(C151="",""," — "&amp;C151)&amp;" — "&amp;D151&amp;" andares",""))</f>
        <v/>
      </c>
      <c r="F151" s="14"/>
      <c r="G151" s="5" t="str">
        <f aca="false">IF(B151="","",IFERROR(INDEX(Bolos!$J:$J,MATCH(B151,Bolos!$A:$A,0)),"Código não encontrado"))</f>
        <v/>
      </c>
      <c r="H151" s="5" t="str">
        <f aca="false">IF(B151="","",IF(G151="Disponível","Sim","Não"))</f>
        <v/>
      </c>
      <c r="I151" s="5" t="str">
        <f aca="false">IF(OR(B151="",D151=""),"",IFERROR(IF(AND(D151&gt;=INDEX(Bolos!$D:$D,MATCH(B151,Bolos!$A:$A,0)),D151&lt;=INDEX(Bolos!$E:$E,MATCH(B151,Bolos!$A:$A,0))),"OK","Fora do limite"),""))</f>
        <v/>
      </c>
      <c r="K151" s="14"/>
      <c r="L151" s="13" t="str">
        <f aca="false">IF(K151="","",ROUND(K151*(1-'Como usar'!$B$26),2))</f>
        <v/>
      </c>
      <c r="M151" s="5" t="str">
        <f aca="false">IF(B151="","",IF(AND(G151="Inativo",IFERROR(INDEX(Bolos!$O:$O,MATCH(B151,Bolos!$A:$A,0)),"")="Sim",K151&lt;&gt;""),"Sim","Não"))</f>
        <v/>
      </c>
      <c r="N151" s="14"/>
    </row>
    <row r="152" customFormat="false" ht="15" hidden="false" customHeight="true" outlineLevel="0" collapsed="false">
      <c r="E152" s="5" t="str">
        <f aca="false">IF(B152="","",IFERROR(INDEX(Bolos!$B:$B,MATCH(B152,Bolos!$A:$A,0))&amp;IF(C152="",""," — "&amp;C152)&amp;" — "&amp;D152&amp;" andares",""))</f>
        <v/>
      </c>
      <c r="F152" s="14"/>
      <c r="G152" s="5" t="str">
        <f aca="false">IF(B152="","",IFERROR(INDEX(Bolos!$J:$J,MATCH(B152,Bolos!$A:$A,0)),"Código não encontrado"))</f>
        <v/>
      </c>
      <c r="H152" s="5" t="str">
        <f aca="false">IF(B152="","",IF(G152="Disponível","Sim","Não"))</f>
        <v/>
      </c>
      <c r="I152" s="5" t="str">
        <f aca="false">IF(OR(B152="",D152=""),"",IFERROR(IF(AND(D152&gt;=INDEX(Bolos!$D:$D,MATCH(B152,Bolos!$A:$A,0)),D152&lt;=INDEX(Bolos!$E:$E,MATCH(B152,Bolos!$A:$A,0))),"OK","Fora do limite"),""))</f>
        <v/>
      </c>
      <c r="K152" s="14"/>
      <c r="L152" s="13" t="str">
        <f aca="false">IF(K152="","",ROUND(K152*(1-'Como usar'!$B$26),2))</f>
        <v/>
      </c>
      <c r="M152" s="5" t="str">
        <f aca="false">IF(B152="","",IF(AND(G152="Inativo",IFERROR(INDEX(Bolos!$O:$O,MATCH(B152,Bolos!$A:$A,0)),"")="Sim",K152&lt;&gt;""),"Sim","Não"))</f>
        <v/>
      </c>
      <c r="N152" s="14"/>
    </row>
    <row r="153" customFormat="false" ht="15" hidden="false" customHeight="true" outlineLevel="0" collapsed="false">
      <c r="E153" s="5" t="str">
        <f aca="false">IF(B153="","",IFERROR(INDEX(Bolos!$B:$B,MATCH(B153,Bolos!$A:$A,0))&amp;IF(C153="",""," — "&amp;C153)&amp;" — "&amp;D153&amp;" andares",""))</f>
        <v/>
      </c>
      <c r="F153" s="14"/>
      <c r="G153" s="5" t="str">
        <f aca="false">IF(B153="","",IFERROR(INDEX(Bolos!$J:$J,MATCH(B153,Bolos!$A:$A,0)),"Código não encontrado"))</f>
        <v/>
      </c>
      <c r="H153" s="5" t="str">
        <f aca="false">IF(B153="","",IF(G153="Disponível","Sim","Não"))</f>
        <v/>
      </c>
      <c r="I153" s="5" t="str">
        <f aca="false">IF(OR(B153="",D153=""),"",IFERROR(IF(AND(D153&gt;=INDEX(Bolos!$D:$D,MATCH(B153,Bolos!$A:$A,0)),D153&lt;=INDEX(Bolos!$E:$E,MATCH(B153,Bolos!$A:$A,0))),"OK","Fora do limite"),""))</f>
        <v/>
      </c>
      <c r="K153" s="14"/>
      <c r="L153" s="13" t="str">
        <f aca="false">IF(K153="","",ROUND(K153*(1-'Como usar'!$B$26),2))</f>
        <v/>
      </c>
      <c r="M153" s="5" t="str">
        <f aca="false">IF(B153="","",IF(AND(G153="Inativo",IFERROR(INDEX(Bolos!$O:$O,MATCH(B153,Bolos!$A:$A,0)),"")="Sim",K153&lt;&gt;""),"Sim","Não"))</f>
        <v/>
      </c>
      <c r="N153" s="14"/>
    </row>
    <row r="154" customFormat="false" ht="15" hidden="false" customHeight="true" outlineLevel="0" collapsed="false">
      <c r="E154" s="5" t="str">
        <f aca="false">IF(B154="","",IFERROR(INDEX(Bolos!$B:$B,MATCH(B154,Bolos!$A:$A,0))&amp;IF(C154="",""," — "&amp;C154)&amp;" — "&amp;D154&amp;" andares",""))</f>
        <v/>
      </c>
      <c r="F154" s="14"/>
      <c r="G154" s="5" t="str">
        <f aca="false">IF(B154="","",IFERROR(INDEX(Bolos!$J:$J,MATCH(B154,Bolos!$A:$A,0)),"Código não encontrado"))</f>
        <v/>
      </c>
      <c r="H154" s="5" t="str">
        <f aca="false">IF(B154="","",IF(G154="Disponível","Sim","Não"))</f>
        <v/>
      </c>
      <c r="I154" s="5" t="str">
        <f aca="false">IF(OR(B154="",D154=""),"",IFERROR(IF(AND(D154&gt;=INDEX(Bolos!$D:$D,MATCH(B154,Bolos!$A:$A,0)),D154&lt;=INDEX(Bolos!$E:$E,MATCH(B154,Bolos!$A:$A,0))),"OK","Fora do limite"),""))</f>
        <v/>
      </c>
      <c r="K154" s="14"/>
      <c r="L154" s="13" t="str">
        <f aca="false">IF(K154="","",ROUND(K154*(1-'Como usar'!$B$26),2))</f>
        <v/>
      </c>
      <c r="M154" s="5" t="str">
        <f aca="false">IF(B154="","",IF(AND(G154="Inativo",IFERROR(INDEX(Bolos!$O:$O,MATCH(B154,Bolos!$A:$A,0)),"")="Sim",K154&lt;&gt;""),"Sim","Não"))</f>
        <v/>
      </c>
      <c r="N154" s="14"/>
    </row>
    <row r="155" customFormat="false" ht="15" hidden="false" customHeight="true" outlineLevel="0" collapsed="false">
      <c r="E155" s="5" t="str">
        <f aca="false">IF(B155="","",IFERROR(INDEX(Bolos!$B:$B,MATCH(B155,Bolos!$A:$A,0))&amp;IF(C155="",""," — "&amp;C155)&amp;" — "&amp;D155&amp;" andares",""))</f>
        <v/>
      </c>
      <c r="F155" s="14"/>
      <c r="G155" s="5" t="str">
        <f aca="false">IF(B155="","",IFERROR(INDEX(Bolos!$J:$J,MATCH(B155,Bolos!$A:$A,0)),"Código não encontrado"))</f>
        <v/>
      </c>
      <c r="H155" s="5" t="str">
        <f aca="false">IF(B155="","",IF(G155="Disponível","Sim","Não"))</f>
        <v/>
      </c>
      <c r="I155" s="5" t="str">
        <f aca="false">IF(OR(B155="",D155=""),"",IFERROR(IF(AND(D155&gt;=INDEX(Bolos!$D:$D,MATCH(B155,Bolos!$A:$A,0)),D155&lt;=INDEX(Bolos!$E:$E,MATCH(B155,Bolos!$A:$A,0))),"OK","Fora do limite"),""))</f>
        <v/>
      </c>
      <c r="K155" s="14"/>
      <c r="L155" s="13" t="str">
        <f aca="false">IF(K155="","",ROUND(K155*(1-'Como usar'!$B$26),2))</f>
        <v/>
      </c>
      <c r="M155" s="5" t="str">
        <f aca="false">IF(B155="","",IF(AND(G155="Inativo",IFERROR(INDEX(Bolos!$O:$O,MATCH(B155,Bolos!$A:$A,0)),"")="Sim",K155&lt;&gt;""),"Sim","Não"))</f>
        <v/>
      </c>
      <c r="N155" s="14"/>
    </row>
    <row r="156" customFormat="false" ht="15" hidden="false" customHeight="true" outlineLevel="0" collapsed="false">
      <c r="E156" s="5" t="str">
        <f aca="false">IF(B156="","",IFERROR(INDEX(Bolos!$B:$B,MATCH(B156,Bolos!$A:$A,0))&amp;IF(C156="",""," — "&amp;C156)&amp;" — "&amp;D156&amp;" andares",""))</f>
        <v/>
      </c>
      <c r="F156" s="14"/>
      <c r="G156" s="5" t="str">
        <f aca="false">IF(B156="","",IFERROR(INDEX(Bolos!$J:$J,MATCH(B156,Bolos!$A:$A,0)),"Código não encontrado"))</f>
        <v/>
      </c>
      <c r="H156" s="5" t="str">
        <f aca="false">IF(B156="","",IF(G156="Disponível","Sim","Não"))</f>
        <v/>
      </c>
      <c r="I156" s="5" t="str">
        <f aca="false">IF(OR(B156="",D156=""),"",IFERROR(IF(AND(D156&gt;=INDEX(Bolos!$D:$D,MATCH(B156,Bolos!$A:$A,0)),D156&lt;=INDEX(Bolos!$E:$E,MATCH(B156,Bolos!$A:$A,0))),"OK","Fora do limite"),""))</f>
        <v/>
      </c>
      <c r="K156" s="14"/>
      <c r="L156" s="13" t="str">
        <f aca="false">IF(K156="","",ROUND(K156*(1-'Como usar'!$B$26),2))</f>
        <v/>
      </c>
      <c r="M156" s="5" t="str">
        <f aca="false">IF(B156="","",IF(AND(G156="Inativo",IFERROR(INDEX(Bolos!$O:$O,MATCH(B156,Bolos!$A:$A,0)),"")="Sim",K156&lt;&gt;""),"Sim","Não"))</f>
        <v/>
      </c>
      <c r="N156" s="14"/>
    </row>
    <row r="157" customFormat="false" ht="15" hidden="false" customHeight="true" outlineLevel="0" collapsed="false">
      <c r="E157" s="5" t="str">
        <f aca="false">IF(B157="","",IFERROR(INDEX(Bolos!$B:$B,MATCH(B157,Bolos!$A:$A,0))&amp;IF(C157="",""," — "&amp;C157)&amp;" — "&amp;D157&amp;" andares",""))</f>
        <v/>
      </c>
      <c r="F157" s="14"/>
      <c r="G157" s="5" t="str">
        <f aca="false">IF(B157="","",IFERROR(INDEX(Bolos!$J:$J,MATCH(B157,Bolos!$A:$A,0)),"Código não encontrado"))</f>
        <v/>
      </c>
      <c r="H157" s="5" t="str">
        <f aca="false">IF(B157="","",IF(G157="Disponível","Sim","Não"))</f>
        <v/>
      </c>
      <c r="I157" s="5" t="str">
        <f aca="false">IF(OR(B157="",D157=""),"",IFERROR(IF(AND(D157&gt;=INDEX(Bolos!$D:$D,MATCH(B157,Bolos!$A:$A,0)),D157&lt;=INDEX(Bolos!$E:$E,MATCH(B157,Bolos!$A:$A,0))),"OK","Fora do limite"),""))</f>
        <v/>
      </c>
      <c r="K157" s="14"/>
      <c r="L157" s="13" t="str">
        <f aca="false">IF(K157="","",ROUND(K157*(1-'Como usar'!$B$26),2))</f>
        <v/>
      </c>
      <c r="M157" s="5" t="str">
        <f aca="false">IF(B157="","",IF(AND(G157="Inativo",IFERROR(INDEX(Bolos!$O:$O,MATCH(B157,Bolos!$A:$A,0)),"")="Sim",K157&lt;&gt;""),"Sim","Não"))</f>
        <v/>
      </c>
      <c r="N157" s="14"/>
    </row>
    <row r="158" customFormat="false" ht="15" hidden="false" customHeight="true" outlineLevel="0" collapsed="false">
      <c r="E158" s="5" t="str">
        <f aca="false">IF(B158="","",IFERROR(INDEX(Bolos!$B:$B,MATCH(B158,Bolos!$A:$A,0))&amp;IF(C158="",""," — "&amp;C158)&amp;" — "&amp;D158&amp;" andares",""))</f>
        <v/>
      </c>
      <c r="F158" s="14"/>
      <c r="G158" s="5" t="str">
        <f aca="false">IF(B158="","",IFERROR(INDEX(Bolos!$J:$J,MATCH(B158,Bolos!$A:$A,0)),"Código não encontrado"))</f>
        <v/>
      </c>
      <c r="H158" s="5" t="str">
        <f aca="false">IF(B158="","",IF(G158="Disponível","Sim","Não"))</f>
        <v/>
      </c>
      <c r="I158" s="5" t="str">
        <f aca="false">IF(OR(B158="",D158=""),"",IFERROR(IF(AND(D158&gt;=INDEX(Bolos!$D:$D,MATCH(B158,Bolos!$A:$A,0)),D158&lt;=INDEX(Bolos!$E:$E,MATCH(B158,Bolos!$A:$A,0))),"OK","Fora do limite"),""))</f>
        <v/>
      </c>
      <c r="K158" s="14"/>
      <c r="L158" s="13" t="str">
        <f aca="false">IF(K158="","",ROUND(K158*(1-'Como usar'!$B$26),2))</f>
        <v/>
      </c>
      <c r="M158" s="5" t="str">
        <f aca="false">IF(B158="","",IF(AND(G158="Inativo",IFERROR(INDEX(Bolos!$O:$O,MATCH(B158,Bolos!$A:$A,0)),"")="Sim",K158&lt;&gt;""),"Sim","Não"))</f>
        <v/>
      </c>
      <c r="N158" s="14"/>
    </row>
    <row r="159" customFormat="false" ht="15" hidden="false" customHeight="true" outlineLevel="0" collapsed="false">
      <c r="E159" s="5" t="str">
        <f aca="false">IF(B159="","",IFERROR(INDEX(Bolos!$B:$B,MATCH(B159,Bolos!$A:$A,0))&amp;IF(C159="",""," — "&amp;C159)&amp;" — "&amp;D159&amp;" andares",""))</f>
        <v/>
      </c>
      <c r="F159" s="14"/>
      <c r="G159" s="5" t="str">
        <f aca="false">IF(B159="","",IFERROR(INDEX(Bolos!$J:$J,MATCH(B159,Bolos!$A:$A,0)),"Código não encontrado"))</f>
        <v/>
      </c>
      <c r="H159" s="5" t="str">
        <f aca="false">IF(B159="","",IF(G159="Disponível","Sim","Não"))</f>
        <v/>
      </c>
      <c r="I159" s="5" t="str">
        <f aca="false">IF(OR(B159="",D159=""),"",IFERROR(IF(AND(D159&gt;=INDEX(Bolos!$D:$D,MATCH(B159,Bolos!$A:$A,0)),D159&lt;=INDEX(Bolos!$E:$E,MATCH(B159,Bolos!$A:$A,0))),"OK","Fora do limite"),""))</f>
        <v/>
      </c>
      <c r="K159" s="14"/>
      <c r="L159" s="13" t="str">
        <f aca="false">IF(K159="","",ROUND(K159*(1-'Como usar'!$B$26),2))</f>
        <v/>
      </c>
      <c r="M159" s="5" t="str">
        <f aca="false">IF(B159="","",IF(AND(G159="Inativo",IFERROR(INDEX(Bolos!$O:$O,MATCH(B159,Bolos!$A:$A,0)),"")="Sim",K159&lt;&gt;""),"Sim","Não"))</f>
        <v/>
      </c>
      <c r="N159" s="14"/>
    </row>
    <row r="160" customFormat="false" ht="15" hidden="false" customHeight="true" outlineLevel="0" collapsed="false">
      <c r="E160" s="5" t="str">
        <f aca="false">IF(B160="","",IFERROR(INDEX(Bolos!$B:$B,MATCH(B160,Bolos!$A:$A,0))&amp;IF(C160="",""," — "&amp;C160)&amp;" — "&amp;D160&amp;" andares",""))</f>
        <v/>
      </c>
      <c r="F160" s="14"/>
      <c r="G160" s="5" t="str">
        <f aca="false">IF(B160="","",IFERROR(INDEX(Bolos!$J:$J,MATCH(B160,Bolos!$A:$A,0)),"Código não encontrado"))</f>
        <v/>
      </c>
      <c r="H160" s="5" t="str">
        <f aca="false">IF(B160="","",IF(G160="Disponível","Sim","Não"))</f>
        <v/>
      </c>
      <c r="I160" s="5" t="str">
        <f aca="false">IF(OR(B160="",D160=""),"",IFERROR(IF(AND(D160&gt;=INDEX(Bolos!$D:$D,MATCH(B160,Bolos!$A:$A,0)),D160&lt;=INDEX(Bolos!$E:$E,MATCH(B160,Bolos!$A:$A,0))),"OK","Fora do limite"),""))</f>
        <v/>
      </c>
      <c r="K160" s="14"/>
      <c r="L160" s="13" t="str">
        <f aca="false">IF(K160="","",ROUND(K160*(1-'Como usar'!$B$26),2))</f>
        <v/>
      </c>
      <c r="M160" s="5" t="str">
        <f aca="false">IF(B160="","",IF(AND(G160="Inativo",IFERROR(INDEX(Bolos!$O:$O,MATCH(B160,Bolos!$A:$A,0)),"")="Sim",K160&lt;&gt;""),"Sim","Não"))</f>
        <v/>
      </c>
      <c r="N160" s="14"/>
    </row>
    <row r="161" customFormat="false" ht="15" hidden="false" customHeight="true" outlineLevel="0" collapsed="false">
      <c r="E161" s="5" t="str">
        <f aca="false">IF(B161="","",IFERROR(INDEX(Bolos!$B:$B,MATCH(B161,Bolos!$A:$A,0))&amp;IF(C161="",""," — "&amp;C161)&amp;" — "&amp;D161&amp;" andares",""))</f>
        <v/>
      </c>
      <c r="F161" s="14"/>
      <c r="G161" s="5" t="str">
        <f aca="false">IF(B161="","",IFERROR(INDEX(Bolos!$J:$J,MATCH(B161,Bolos!$A:$A,0)),"Código não encontrado"))</f>
        <v/>
      </c>
      <c r="H161" s="5" t="str">
        <f aca="false">IF(B161="","",IF(G161="Disponível","Sim","Não"))</f>
        <v/>
      </c>
      <c r="I161" s="5" t="str">
        <f aca="false">IF(OR(B161="",D161=""),"",IFERROR(IF(AND(D161&gt;=INDEX(Bolos!$D:$D,MATCH(B161,Bolos!$A:$A,0)),D161&lt;=INDEX(Bolos!$E:$E,MATCH(B161,Bolos!$A:$A,0))),"OK","Fora do limite"),""))</f>
        <v/>
      </c>
      <c r="K161" s="14"/>
      <c r="L161" s="13" t="str">
        <f aca="false">IF(K161="","",ROUND(K161*(1-'Como usar'!$B$26),2))</f>
        <v/>
      </c>
      <c r="M161" s="5" t="str">
        <f aca="false">IF(B161="","",IF(AND(G161="Inativo",IFERROR(INDEX(Bolos!$O:$O,MATCH(B161,Bolos!$A:$A,0)),"")="Sim",K161&lt;&gt;""),"Sim","Não"))</f>
        <v/>
      </c>
      <c r="N161" s="14"/>
    </row>
    <row r="162" customFormat="false" ht="15" hidden="false" customHeight="true" outlineLevel="0" collapsed="false">
      <c r="E162" s="5" t="str">
        <f aca="false">IF(B162="","",IFERROR(INDEX(Bolos!$B:$B,MATCH(B162,Bolos!$A:$A,0))&amp;IF(C162="",""," — "&amp;C162)&amp;" — "&amp;D162&amp;" andares",""))</f>
        <v/>
      </c>
      <c r="F162" s="14"/>
      <c r="G162" s="5" t="str">
        <f aca="false">IF(B162="","",IFERROR(INDEX(Bolos!$J:$J,MATCH(B162,Bolos!$A:$A,0)),"Código não encontrado"))</f>
        <v/>
      </c>
      <c r="H162" s="5" t="str">
        <f aca="false">IF(B162="","",IF(G162="Disponível","Sim","Não"))</f>
        <v/>
      </c>
      <c r="I162" s="5" t="str">
        <f aca="false">IF(OR(B162="",D162=""),"",IFERROR(IF(AND(D162&gt;=INDEX(Bolos!$D:$D,MATCH(B162,Bolos!$A:$A,0)),D162&lt;=INDEX(Bolos!$E:$E,MATCH(B162,Bolos!$A:$A,0))),"OK","Fora do limite"),""))</f>
        <v/>
      </c>
      <c r="K162" s="14"/>
      <c r="L162" s="13" t="str">
        <f aca="false">IF(K162="","",ROUND(K162*(1-'Como usar'!$B$26),2))</f>
        <v/>
      </c>
      <c r="M162" s="5" t="str">
        <f aca="false">IF(B162="","",IF(AND(G162="Inativo",IFERROR(INDEX(Bolos!$O:$O,MATCH(B162,Bolos!$A:$A,0)),"")="Sim",K162&lt;&gt;""),"Sim","Não"))</f>
        <v/>
      </c>
      <c r="N162" s="14"/>
    </row>
    <row r="163" customFormat="false" ht="15" hidden="false" customHeight="true" outlineLevel="0" collapsed="false">
      <c r="E163" s="5" t="str">
        <f aca="false">IF(B163="","",IFERROR(INDEX(Bolos!$B:$B,MATCH(B163,Bolos!$A:$A,0))&amp;IF(C163="",""," — "&amp;C163)&amp;" — "&amp;D163&amp;" andares",""))</f>
        <v/>
      </c>
      <c r="F163" s="14"/>
      <c r="G163" s="5" t="str">
        <f aca="false">IF(B163="","",IFERROR(INDEX(Bolos!$J:$J,MATCH(B163,Bolos!$A:$A,0)),"Código não encontrado"))</f>
        <v/>
      </c>
      <c r="H163" s="5" t="str">
        <f aca="false">IF(B163="","",IF(G163="Disponível","Sim","Não"))</f>
        <v/>
      </c>
      <c r="I163" s="5" t="str">
        <f aca="false">IF(OR(B163="",D163=""),"",IFERROR(IF(AND(D163&gt;=INDEX(Bolos!$D:$D,MATCH(B163,Bolos!$A:$A,0)),D163&lt;=INDEX(Bolos!$E:$E,MATCH(B163,Bolos!$A:$A,0))),"OK","Fora do limite"),""))</f>
        <v/>
      </c>
      <c r="K163" s="14"/>
      <c r="L163" s="13" t="str">
        <f aca="false">IF(K163="","",ROUND(K163*(1-'Como usar'!$B$26),2))</f>
        <v/>
      </c>
      <c r="M163" s="5" t="str">
        <f aca="false">IF(B163="","",IF(AND(G163="Inativo",IFERROR(INDEX(Bolos!$O:$O,MATCH(B163,Bolos!$A:$A,0)),"")="Sim",K163&lt;&gt;""),"Sim","Não"))</f>
        <v/>
      </c>
      <c r="N163" s="14"/>
    </row>
    <row r="164" customFormat="false" ht="15" hidden="false" customHeight="true" outlineLevel="0" collapsed="false">
      <c r="E164" s="5" t="str">
        <f aca="false">IF(B164="","",IFERROR(INDEX(Bolos!$B:$B,MATCH(B164,Bolos!$A:$A,0))&amp;IF(C164="",""," — "&amp;C164)&amp;" — "&amp;D164&amp;" andares",""))</f>
        <v/>
      </c>
      <c r="F164" s="14"/>
      <c r="G164" s="5" t="str">
        <f aca="false">IF(B164="","",IFERROR(INDEX(Bolos!$J:$J,MATCH(B164,Bolos!$A:$A,0)),"Código não encontrado"))</f>
        <v/>
      </c>
      <c r="H164" s="5" t="str">
        <f aca="false">IF(B164="","",IF(G164="Disponível","Sim","Não"))</f>
        <v/>
      </c>
      <c r="I164" s="5" t="str">
        <f aca="false">IF(OR(B164="",D164=""),"",IFERROR(IF(AND(D164&gt;=INDEX(Bolos!$D:$D,MATCH(B164,Bolos!$A:$A,0)),D164&lt;=INDEX(Bolos!$E:$E,MATCH(B164,Bolos!$A:$A,0))),"OK","Fora do limite"),""))</f>
        <v/>
      </c>
      <c r="K164" s="14"/>
      <c r="L164" s="13" t="str">
        <f aca="false">IF(K164="","",ROUND(K164*(1-'Como usar'!$B$26),2))</f>
        <v/>
      </c>
      <c r="M164" s="5" t="str">
        <f aca="false">IF(B164="","",IF(AND(G164="Inativo",IFERROR(INDEX(Bolos!$O:$O,MATCH(B164,Bolos!$A:$A,0)),"")="Sim",K164&lt;&gt;""),"Sim","Não"))</f>
        <v/>
      </c>
      <c r="N164" s="14"/>
    </row>
    <row r="165" customFormat="false" ht="15" hidden="false" customHeight="true" outlineLevel="0" collapsed="false">
      <c r="E165" s="5" t="str">
        <f aca="false">IF(B165="","",IFERROR(INDEX(Bolos!$B:$B,MATCH(B165,Bolos!$A:$A,0))&amp;IF(C165="",""," — "&amp;C165)&amp;" — "&amp;D165&amp;" andares",""))</f>
        <v/>
      </c>
      <c r="F165" s="14"/>
      <c r="G165" s="5" t="str">
        <f aca="false">IF(B165="","",IFERROR(INDEX(Bolos!$J:$J,MATCH(B165,Bolos!$A:$A,0)),"Código não encontrado"))</f>
        <v/>
      </c>
      <c r="H165" s="5" t="str">
        <f aca="false">IF(B165="","",IF(G165="Disponível","Sim","Não"))</f>
        <v/>
      </c>
      <c r="I165" s="5" t="str">
        <f aca="false">IF(OR(B165="",D165=""),"",IFERROR(IF(AND(D165&gt;=INDEX(Bolos!$D:$D,MATCH(B165,Bolos!$A:$A,0)),D165&lt;=INDEX(Bolos!$E:$E,MATCH(B165,Bolos!$A:$A,0))),"OK","Fora do limite"),""))</f>
        <v/>
      </c>
      <c r="K165" s="14"/>
      <c r="L165" s="13" t="str">
        <f aca="false">IF(K165="","",ROUND(K165*(1-'Como usar'!$B$26),2))</f>
        <v/>
      </c>
      <c r="M165" s="5" t="str">
        <f aca="false">IF(B165="","",IF(AND(G165="Inativo",IFERROR(INDEX(Bolos!$O:$O,MATCH(B165,Bolos!$A:$A,0)),"")="Sim",K165&lt;&gt;""),"Sim","Não"))</f>
        <v/>
      </c>
      <c r="N165" s="14"/>
    </row>
    <row r="166" customFormat="false" ht="15" hidden="false" customHeight="true" outlineLevel="0" collapsed="false">
      <c r="E166" s="5" t="str">
        <f aca="false">IF(B166="","",IFERROR(INDEX(Bolos!$B:$B,MATCH(B166,Bolos!$A:$A,0))&amp;IF(C166="",""," — "&amp;C166)&amp;" — "&amp;D166&amp;" andares",""))</f>
        <v/>
      </c>
      <c r="F166" s="14"/>
      <c r="G166" s="5" t="str">
        <f aca="false">IF(B166="","",IFERROR(INDEX(Bolos!$J:$J,MATCH(B166,Bolos!$A:$A,0)),"Código não encontrado"))</f>
        <v/>
      </c>
      <c r="H166" s="5" t="str">
        <f aca="false">IF(B166="","",IF(G166="Disponível","Sim","Não"))</f>
        <v/>
      </c>
      <c r="I166" s="5" t="str">
        <f aca="false">IF(OR(B166="",D166=""),"",IFERROR(IF(AND(D166&gt;=INDEX(Bolos!$D:$D,MATCH(B166,Bolos!$A:$A,0)),D166&lt;=INDEX(Bolos!$E:$E,MATCH(B166,Bolos!$A:$A,0))),"OK","Fora do limite"),""))</f>
        <v/>
      </c>
      <c r="K166" s="14"/>
      <c r="L166" s="13" t="str">
        <f aca="false">IF(K166="","",ROUND(K166*(1-'Como usar'!$B$26),2))</f>
        <v/>
      </c>
      <c r="M166" s="5" t="str">
        <f aca="false">IF(B166="","",IF(AND(G166="Inativo",IFERROR(INDEX(Bolos!$O:$O,MATCH(B166,Bolos!$A:$A,0)),"")="Sim",K166&lt;&gt;""),"Sim","Não"))</f>
        <v/>
      </c>
      <c r="N166" s="14"/>
    </row>
    <row r="167" customFormat="false" ht="15" hidden="false" customHeight="true" outlineLevel="0" collapsed="false">
      <c r="E167" s="5" t="str">
        <f aca="false">IF(B167="","",IFERROR(INDEX(Bolos!$B:$B,MATCH(B167,Bolos!$A:$A,0))&amp;IF(C167="",""," — "&amp;C167)&amp;" — "&amp;D167&amp;" andares",""))</f>
        <v/>
      </c>
      <c r="F167" s="14"/>
      <c r="G167" s="5" t="str">
        <f aca="false">IF(B167="","",IFERROR(INDEX(Bolos!$J:$J,MATCH(B167,Bolos!$A:$A,0)),"Código não encontrado"))</f>
        <v/>
      </c>
      <c r="H167" s="5" t="str">
        <f aca="false">IF(B167="","",IF(G167="Disponível","Sim","Não"))</f>
        <v/>
      </c>
      <c r="I167" s="5" t="str">
        <f aca="false">IF(OR(B167="",D167=""),"",IFERROR(IF(AND(D167&gt;=INDEX(Bolos!$D:$D,MATCH(B167,Bolos!$A:$A,0)),D167&lt;=INDEX(Bolos!$E:$E,MATCH(B167,Bolos!$A:$A,0))),"OK","Fora do limite"),""))</f>
        <v/>
      </c>
      <c r="K167" s="14"/>
      <c r="L167" s="13" t="str">
        <f aca="false">IF(K167="","",ROUND(K167*(1-'Como usar'!$B$26),2))</f>
        <v/>
      </c>
      <c r="M167" s="5" t="str">
        <f aca="false">IF(B167="","",IF(AND(G167="Inativo",IFERROR(INDEX(Bolos!$O:$O,MATCH(B167,Bolos!$A:$A,0)),"")="Sim",K167&lt;&gt;""),"Sim","Não"))</f>
        <v/>
      </c>
      <c r="N167" s="14"/>
    </row>
    <row r="168" customFormat="false" ht="15" hidden="false" customHeight="true" outlineLevel="0" collapsed="false">
      <c r="E168" s="5" t="str">
        <f aca="false">IF(B168="","",IFERROR(INDEX(Bolos!$B:$B,MATCH(B168,Bolos!$A:$A,0))&amp;IF(C168="",""," — "&amp;C168)&amp;" — "&amp;D168&amp;" andares",""))</f>
        <v/>
      </c>
      <c r="F168" s="14"/>
      <c r="G168" s="5" t="str">
        <f aca="false">IF(B168="","",IFERROR(INDEX(Bolos!$J:$J,MATCH(B168,Bolos!$A:$A,0)),"Código não encontrado"))</f>
        <v/>
      </c>
      <c r="H168" s="5" t="str">
        <f aca="false">IF(B168="","",IF(G168="Disponível","Sim","Não"))</f>
        <v/>
      </c>
      <c r="I168" s="5" t="str">
        <f aca="false">IF(OR(B168="",D168=""),"",IFERROR(IF(AND(D168&gt;=INDEX(Bolos!$D:$D,MATCH(B168,Bolos!$A:$A,0)),D168&lt;=INDEX(Bolos!$E:$E,MATCH(B168,Bolos!$A:$A,0))),"OK","Fora do limite"),""))</f>
        <v/>
      </c>
      <c r="K168" s="14"/>
      <c r="L168" s="13" t="str">
        <f aca="false">IF(K168="","",ROUND(K168*(1-'Como usar'!$B$26),2))</f>
        <v/>
      </c>
      <c r="M168" s="5" t="str">
        <f aca="false">IF(B168="","",IF(AND(G168="Inativo",IFERROR(INDEX(Bolos!$O:$O,MATCH(B168,Bolos!$A:$A,0)),"")="Sim",K168&lt;&gt;""),"Sim","Não"))</f>
        <v/>
      </c>
      <c r="N168" s="14"/>
    </row>
    <row r="169" customFormat="false" ht="15" hidden="false" customHeight="true" outlineLevel="0" collapsed="false">
      <c r="E169" s="5" t="str">
        <f aca="false">IF(B169="","",IFERROR(INDEX(Bolos!$B:$B,MATCH(B169,Bolos!$A:$A,0))&amp;IF(C169="",""," — "&amp;C169)&amp;" — "&amp;D169&amp;" andares",""))</f>
        <v/>
      </c>
      <c r="F169" s="14"/>
      <c r="G169" s="5" t="str">
        <f aca="false">IF(B169="","",IFERROR(INDEX(Bolos!$J:$J,MATCH(B169,Bolos!$A:$A,0)),"Código não encontrado"))</f>
        <v/>
      </c>
      <c r="H169" s="5" t="str">
        <f aca="false">IF(B169="","",IF(G169="Disponível","Sim","Não"))</f>
        <v/>
      </c>
      <c r="I169" s="5" t="str">
        <f aca="false">IF(OR(B169="",D169=""),"",IFERROR(IF(AND(D169&gt;=INDEX(Bolos!$D:$D,MATCH(B169,Bolos!$A:$A,0)),D169&lt;=INDEX(Bolos!$E:$E,MATCH(B169,Bolos!$A:$A,0))),"OK","Fora do limite"),""))</f>
        <v/>
      </c>
      <c r="K169" s="14"/>
      <c r="L169" s="13" t="str">
        <f aca="false">IF(K169="","",ROUND(K169*(1-'Como usar'!$B$26),2))</f>
        <v/>
      </c>
      <c r="M169" s="5" t="str">
        <f aca="false">IF(B169="","",IF(AND(G169="Inativo",IFERROR(INDEX(Bolos!$O:$O,MATCH(B169,Bolos!$A:$A,0)),"")="Sim",K169&lt;&gt;""),"Sim","Não"))</f>
        <v/>
      </c>
      <c r="N169" s="14"/>
    </row>
    <row r="170" customFormat="false" ht="15" hidden="false" customHeight="true" outlineLevel="0" collapsed="false">
      <c r="E170" s="5" t="str">
        <f aca="false">IF(B170="","",IFERROR(INDEX(Bolos!$B:$B,MATCH(B170,Bolos!$A:$A,0))&amp;IF(C170="",""," — "&amp;C170)&amp;" — "&amp;D170&amp;" andares",""))</f>
        <v/>
      </c>
      <c r="F170" s="14"/>
      <c r="G170" s="5" t="str">
        <f aca="false">IF(B170="","",IFERROR(INDEX(Bolos!$J:$J,MATCH(B170,Bolos!$A:$A,0)),"Código não encontrado"))</f>
        <v/>
      </c>
      <c r="H170" s="5" t="str">
        <f aca="false">IF(B170="","",IF(G170="Disponível","Sim","Não"))</f>
        <v/>
      </c>
      <c r="I170" s="5" t="str">
        <f aca="false">IF(OR(B170="",D170=""),"",IFERROR(IF(AND(D170&gt;=INDEX(Bolos!$D:$D,MATCH(B170,Bolos!$A:$A,0)),D170&lt;=INDEX(Bolos!$E:$E,MATCH(B170,Bolos!$A:$A,0))),"OK","Fora do limite"),""))</f>
        <v/>
      </c>
      <c r="K170" s="14"/>
      <c r="L170" s="13" t="str">
        <f aca="false">IF(K170="","",ROUND(K170*(1-'Como usar'!$B$26),2))</f>
        <v/>
      </c>
      <c r="M170" s="5" t="str">
        <f aca="false">IF(B170="","",IF(AND(G170="Inativo",IFERROR(INDEX(Bolos!$O:$O,MATCH(B170,Bolos!$A:$A,0)),"")="Sim",K170&lt;&gt;""),"Sim","Não"))</f>
        <v/>
      </c>
      <c r="N170" s="14"/>
    </row>
    <row r="171" customFormat="false" ht="15" hidden="false" customHeight="true" outlineLevel="0" collapsed="false">
      <c r="E171" s="5" t="str">
        <f aca="false">IF(B171="","",IFERROR(INDEX(Bolos!$B:$B,MATCH(B171,Bolos!$A:$A,0))&amp;IF(C171="",""," — "&amp;C171)&amp;" — "&amp;D171&amp;" andares",""))</f>
        <v/>
      </c>
      <c r="F171" s="14"/>
      <c r="G171" s="5" t="str">
        <f aca="false">IF(B171="","",IFERROR(INDEX(Bolos!$J:$J,MATCH(B171,Bolos!$A:$A,0)),"Código não encontrado"))</f>
        <v/>
      </c>
      <c r="H171" s="5" t="str">
        <f aca="false">IF(B171="","",IF(G171="Disponível","Sim","Não"))</f>
        <v/>
      </c>
      <c r="I171" s="5" t="str">
        <f aca="false">IF(OR(B171="",D171=""),"",IFERROR(IF(AND(D171&gt;=INDEX(Bolos!$D:$D,MATCH(B171,Bolos!$A:$A,0)),D171&lt;=INDEX(Bolos!$E:$E,MATCH(B171,Bolos!$A:$A,0))),"OK","Fora do limite"),""))</f>
        <v/>
      </c>
      <c r="K171" s="14"/>
      <c r="L171" s="13" t="str">
        <f aca="false">IF(K171="","",ROUND(K171*(1-'Como usar'!$B$26),2))</f>
        <v/>
      </c>
      <c r="M171" s="5" t="str">
        <f aca="false">IF(B171="","",IF(AND(G171="Inativo",IFERROR(INDEX(Bolos!$O:$O,MATCH(B171,Bolos!$A:$A,0)),"")="Sim",K171&lt;&gt;""),"Sim","Não"))</f>
        <v/>
      </c>
      <c r="N171" s="14"/>
    </row>
    <row r="172" customFormat="false" ht="15" hidden="false" customHeight="true" outlineLevel="0" collapsed="false">
      <c r="E172" s="5" t="str">
        <f aca="false">IF(B172="","",IFERROR(INDEX(Bolos!$B:$B,MATCH(B172,Bolos!$A:$A,0))&amp;IF(C172="",""," — "&amp;C172)&amp;" — "&amp;D172&amp;" andares",""))</f>
        <v/>
      </c>
      <c r="F172" s="14"/>
      <c r="G172" s="5" t="str">
        <f aca="false">IF(B172="","",IFERROR(INDEX(Bolos!$J:$J,MATCH(B172,Bolos!$A:$A,0)),"Código não encontrado"))</f>
        <v/>
      </c>
      <c r="H172" s="5" t="str">
        <f aca="false">IF(B172="","",IF(G172="Disponível","Sim","Não"))</f>
        <v/>
      </c>
      <c r="I172" s="5" t="str">
        <f aca="false">IF(OR(B172="",D172=""),"",IFERROR(IF(AND(D172&gt;=INDEX(Bolos!$D:$D,MATCH(B172,Bolos!$A:$A,0)),D172&lt;=INDEX(Bolos!$E:$E,MATCH(B172,Bolos!$A:$A,0))),"OK","Fora do limite"),""))</f>
        <v/>
      </c>
      <c r="K172" s="14"/>
      <c r="L172" s="13" t="str">
        <f aca="false">IF(K172="","",ROUND(K172*(1-'Como usar'!$B$26),2))</f>
        <v/>
      </c>
      <c r="M172" s="5" t="str">
        <f aca="false">IF(B172="","",IF(AND(G172="Inativo",IFERROR(INDEX(Bolos!$O:$O,MATCH(B172,Bolos!$A:$A,0)),"")="Sim",K172&lt;&gt;""),"Sim","Não"))</f>
        <v/>
      </c>
      <c r="N172" s="14"/>
    </row>
    <row r="173" customFormat="false" ht="15" hidden="false" customHeight="true" outlineLevel="0" collapsed="false">
      <c r="E173" s="5" t="str">
        <f aca="false">IF(B173="","",IFERROR(INDEX(Bolos!$B:$B,MATCH(B173,Bolos!$A:$A,0))&amp;IF(C173="",""," — "&amp;C173)&amp;" — "&amp;D173&amp;" andares",""))</f>
        <v/>
      </c>
      <c r="F173" s="14"/>
      <c r="G173" s="5" t="str">
        <f aca="false">IF(B173="","",IFERROR(INDEX(Bolos!$J:$J,MATCH(B173,Bolos!$A:$A,0)),"Código não encontrado"))</f>
        <v/>
      </c>
      <c r="H173" s="5" t="str">
        <f aca="false">IF(B173="","",IF(G173="Disponível","Sim","Não"))</f>
        <v/>
      </c>
      <c r="I173" s="5" t="str">
        <f aca="false">IF(OR(B173="",D173=""),"",IFERROR(IF(AND(D173&gt;=INDEX(Bolos!$D:$D,MATCH(B173,Bolos!$A:$A,0)),D173&lt;=INDEX(Bolos!$E:$E,MATCH(B173,Bolos!$A:$A,0))),"OK","Fora do limite"),""))</f>
        <v/>
      </c>
      <c r="K173" s="14"/>
      <c r="L173" s="13" t="str">
        <f aca="false">IF(K173="","",ROUND(K173*(1-'Como usar'!$B$26),2))</f>
        <v/>
      </c>
      <c r="M173" s="5" t="str">
        <f aca="false">IF(B173="","",IF(AND(G173="Inativo",IFERROR(INDEX(Bolos!$O:$O,MATCH(B173,Bolos!$A:$A,0)),"")="Sim",K173&lt;&gt;""),"Sim","Não"))</f>
        <v/>
      </c>
      <c r="N173" s="14"/>
    </row>
    <row r="174" customFormat="false" ht="15" hidden="false" customHeight="true" outlineLevel="0" collapsed="false">
      <c r="E174" s="5" t="str">
        <f aca="false">IF(B174="","",IFERROR(INDEX(Bolos!$B:$B,MATCH(B174,Bolos!$A:$A,0))&amp;IF(C174="",""," — "&amp;C174)&amp;" — "&amp;D174&amp;" andares",""))</f>
        <v/>
      </c>
      <c r="F174" s="14"/>
      <c r="G174" s="5" t="str">
        <f aca="false">IF(B174="","",IFERROR(INDEX(Bolos!$J:$J,MATCH(B174,Bolos!$A:$A,0)),"Código não encontrado"))</f>
        <v/>
      </c>
      <c r="H174" s="5" t="str">
        <f aca="false">IF(B174="","",IF(G174="Disponível","Sim","Não"))</f>
        <v/>
      </c>
      <c r="I174" s="5" t="str">
        <f aca="false">IF(OR(B174="",D174=""),"",IFERROR(IF(AND(D174&gt;=INDEX(Bolos!$D:$D,MATCH(B174,Bolos!$A:$A,0)),D174&lt;=INDEX(Bolos!$E:$E,MATCH(B174,Bolos!$A:$A,0))),"OK","Fora do limite"),""))</f>
        <v/>
      </c>
      <c r="K174" s="14"/>
      <c r="L174" s="13" t="str">
        <f aca="false">IF(K174="","",ROUND(K174*(1-'Como usar'!$B$26),2))</f>
        <v/>
      </c>
      <c r="M174" s="5" t="str">
        <f aca="false">IF(B174="","",IF(AND(G174="Inativo",IFERROR(INDEX(Bolos!$O:$O,MATCH(B174,Bolos!$A:$A,0)),"")="Sim",K174&lt;&gt;""),"Sim","Não"))</f>
        <v/>
      </c>
      <c r="N174" s="14"/>
    </row>
    <row r="175" customFormat="false" ht="15" hidden="false" customHeight="true" outlineLevel="0" collapsed="false">
      <c r="E175" s="5" t="str">
        <f aca="false">IF(B175="","",IFERROR(INDEX(Bolos!$B:$B,MATCH(B175,Bolos!$A:$A,0))&amp;IF(C175="",""," — "&amp;C175)&amp;" — "&amp;D175&amp;" andares",""))</f>
        <v/>
      </c>
      <c r="F175" s="14"/>
      <c r="G175" s="5" t="str">
        <f aca="false">IF(B175="","",IFERROR(INDEX(Bolos!$J:$J,MATCH(B175,Bolos!$A:$A,0)),"Código não encontrado"))</f>
        <v/>
      </c>
      <c r="H175" s="5" t="str">
        <f aca="false">IF(B175="","",IF(G175="Disponível","Sim","Não"))</f>
        <v/>
      </c>
      <c r="I175" s="5" t="str">
        <f aca="false">IF(OR(B175="",D175=""),"",IFERROR(IF(AND(D175&gt;=INDEX(Bolos!$D:$D,MATCH(B175,Bolos!$A:$A,0)),D175&lt;=INDEX(Bolos!$E:$E,MATCH(B175,Bolos!$A:$A,0))),"OK","Fora do limite"),""))</f>
        <v/>
      </c>
      <c r="K175" s="14"/>
      <c r="L175" s="13" t="str">
        <f aca="false">IF(K175="","",ROUND(K175*(1-'Como usar'!$B$26),2))</f>
        <v/>
      </c>
      <c r="M175" s="5" t="str">
        <f aca="false">IF(B175="","",IF(AND(G175="Inativo",IFERROR(INDEX(Bolos!$O:$O,MATCH(B175,Bolos!$A:$A,0)),"")="Sim",K175&lt;&gt;""),"Sim","Não"))</f>
        <v/>
      </c>
      <c r="N175" s="14"/>
    </row>
    <row r="176" customFormat="false" ht="15" hidden="false" customHeight="true" outlineLevel="0" collapsed="false">
      <c r="E176" s="5" t="str">
        <f aca="false">IF(B176="","",IFERROR(INDEX(Bolos!$B:$B,MATCH(B176,Bolos!$A:$A,0))&amp;IF(C176="",""," — "&amp;C176)&amp;" — "&amp;D176&amp;" andares",""))</f>
        <v/>
      </c>
      <c r="F176" s="14"/>
      <c r="G176" s="5" t="str">
        <f aca="false">IF(B176="","",IFERROR(INDEX(Bolos!$J:$J,MATCH(B176,Bolos!$A:$A,0)),"Código não encontrado"))</f>
        <v/>
      </c>
      <c r="H176" s="5" t="str">
        <f aca="false">IF(B176="","",IF(G176="Disponível","Sim","Não"))</f>
        <v/>
      </c>
      <c r="I176" s="5" t="str">
        <f aca="false">IF(OR(B176="",D176=""),"",IFERROR(IF(AND(D176&gt;=INDEX(Bolos!$D:$D,MATCH(B176,Bolos!$A:$A,0)),D176&lt;=INDEX(Bolos!$E:$E,MATCH(B176,Bolos!$A:$A,0))),"OK","Fora do limite"),""))</f>
        <v/>
      </c>
      <c r="K176" s="14"/>
      <c r="L176" s="13" t="str">
        <f aca="false">IF(K176="","",ROUND(K176*(1-'Como usar'!$B$26),2))</f>
        <v/>
      </c>
      <c r="M176" s="5" t="str">
        <f aca="false">IF(B176="","",IF(AND(G176="Inativo",IFERROR(INDEX(Bolos!$O:$O,MATCH(B176,Bolos!$A:$A,0)),"")="Sim",K176&lt;&gt;""),"Sim","Não"))</f>
        <v/>
      </c>
      <c r="N176" s="14"/>
    </row>
    <row r="177" customFormat="false" ht="15" hidden="false" customHeight="true" outlineLevel="0" collapsed="false">
      <c r="E177" s="5" t="str">
        <f aca="false">IF(B177="","",IFERROR(INDEX(Bolos!$B:$B,MATCH(B177,Bolos!$A:$A,0))&amp;IF(C177="",""," — "&amp;C177)&amp;" — "&amp;D177&amp;" andares",""))</f>
        <v/>
      </c>
      <c r="F177" s="14"/>
      <c r="G177" s="5" t="str">
        <f aca="false">IF(B177="","",IFERROR(INDEX(Bolos!$J:$J,MATCH(B177,Bolos!$A:$A,0)),"Código não encontrado"))</f>
        <v/>
      </c>
      <c r="H177" s="5" t="str">
        <f aca="false">IF(B177="","",IF(G177="Disponível","Sim","Não"))</f>
        <v/>
      </c>
      <c r="I177" s="5" t="str">
        <f aca="false">IF(OR(B177="",D177=""),"",IFERROR(IF(AND(D177&gt;=INDEX(Bolos!$D:$D,MATCH(B177,Bolos!$A:$A,0)),D177&lt;=INDEX(Bolos!$E:$E,MATCH(B177,Bolos!$A:$A,0))),"OK","Fora do limite"),""))</f>
        <v/>
      </c>
      <c r="K177" s="14"/>
      <c r="L177" s="13" t="str">
        <f aca="false">IF(K177="","",ROUND(K177*(1-'Como usar'!$B$26),2))</f>
        <v/>
      </c>
      <c r="M177" s="5" t="str">
        <f aca="false">IF(B177="","",IF(AND(G177="Inativo",IFERROR(INDEX(Bolos!$O:$O,MATCH(B177,Bolos!$A:$A,0)),"")="Sim",K177&lt;&gt;""),"Sim","Não"))</f>
        <v/>
      </c>
      <c r="N177" s="14"/>
    </row>
    <row r="178" customFormat="false" ht="15" hidden="false" customHeight="true" outlineLevel="0" collapsed="false">
      <c r="E178" s="5" t="str">
        <f aca="false">IF(B178="","",IFERROR(INDEX(Bolos!$B:$B,MATCH(B178,Bolos!$A:$A,0))&amp;IF(C178="",""," — "&amp;C178)&amp;" — "&amp;D178&amp;" andares",""))</f>
        <v/>
      </c>
      <c r="F178" s="14"/>
      <c r="G178" s="5" t="str">
        <f aca="false">IF(B178="","",IFERROR(INDEX(Bolos!$J:$J,MATCH(B178,Bolos!$A:$A,0)),"Código não encontrado"))</f>
        <v/>
      </c>
      <c r="H178" s="5" t="str">
        <f aca="false">IF(B178="","",IF(G178="Disponível","Sim","Não"))</f>
        <v/>
      </c>
      <c r="I178" s="5" t="str">
        <f aca="false">IF(OR(B178="",D178=""),"",IFERROR(IF(AND(D178&gt;=INDEX(Bolos!$D:$D,MATCH(B178,Bolos!$A:$A,0)),D178&lt;=INDEX(Bolos!$E:$E,MATCH(B178,Bolos!$A:$A,0))),"OK","Fora do limite"),""))</f>
        <v/>
      </c>
      <c r="K178" s="14"/>
      <c r="L178" s="13" t="str">
        <f aca="false">IF(K178="","",ROUND(K178*(1-'Como usar'!$B$26),2))</f>
        <v/>
      </c>
      <c r="M178" s="5" t="str">
        <f aca="false">IF(B178="","",IF(AND(G178="Inativo",IFERROR(INDEX(Bolos!$O:$O,MATCH(B178,Bolos!$A:$A,0)),"")="Sim",K178&lt;&gt;""),"Sim","Não"))</f>
        <v/>
      </c>
      <c r="N178" s="14"/>
    </row>
    <row r="179" customFormat="false" ht="15" hidden="false" customHeight="true" outlineLevel="0" collapsed="false">
      <c r="E179" s="5" t="str">
        <f aca="false">IF(B179="","",IFERROR(INDEX(Bolos!$B:$B,MATCH(B179,Bolos!$A:$A,0))&amp;IF(C179="",""," — "&amp;C179)&amp;" — "&amp;D179&amp;" andares",""))</f>
        <v/>
      </c>
      <c r="F179" s="14"/>
      <c r="G179" s="5" t="str">
        <f aca="false">IF(B179="","",IFERROR(INDEX(Bolos!$J:$J,MATCH(B179,Bolos!$A:$A,0)),"Código não encontrado"))</f>
        <v/>
      </c>
      <c r="H179" s="5" t="str">
        <f aca="false">IF(B179="","",IF(G179="Disponível","Sim","Não"))</f>
        <v/>
      </c>
      <c r="I179" s="5" t="str">
        <f aca="false">IF(OR(B179="",D179=""),"",IFERROR(IF(AND(D179&gt;=INDEX(Bolos!$D:$D,MATCH(B179,Bolos!$A:$A,0)),D179&lt;=INDEX(Bolos!$E:$E,MATCH(B179,Bolos!$A:$A,0))),"OK","Fora do limite"),""))</f>
        <v/>
      </c>
      <c r="K179" s="14"/>
      <c r="L179" s="13" t="str">
        <f aca="false">IF(K179="","",ROUND(K179*(1-'Como usar'!$B$26),2))</f>
        <v/>
      </c>
      <c r="M179" s="5" t="str">
        <f aca="false">IF(B179="","",IF(AND(G179="Inativo",IFERROR(INDEX(Bolos!$O:$O,MATCH(B179,Bolos!$A:$A,0)),"")="Sim",K179&lt;&gt;""),"Sim","Não"))</f>
        <v/>
      </c>
      <c r="N179" s="14"/>
    </row>
    <row r="180" customFormat="false" ht="15" hidden="false" customHeight="true" outlineLevel="0" collapsed="false">
      <c r="E180" s="5" t="str">
        <f aca="false">IF(B180="","",IFERROR(INDEX(Bolos!$B:$B,MATCH(B180,Bolos!$A:$A,0))&amp;IF(C180="",""," — "&amp;C180)&amp;" — "&amp;D180&amp;" andares",""))</f>
        <v/>
      </c>
      <c r="F180" s="14"/>
      <c r="G180" s="5" t="str">
        <f aca="false">IF(B180="","",IFERROR(INDEX(Bolos!$J:$J,MATCH(B180,Bolos!$A:$A,0)),"Código não encontrado"))</f>
        <v/>
      </c>
      <c r="H180" s="5" t="str">
        <f aca="false">IF(B180="","",IF(G180="Disponível","Sim","Não"))</f>
        <v/>
      </c>
      <c r="I180" s="5" t="str">
        <f aca="false">IF(OR(B180="",D180=""),"",IFERROR(IF(AND(D180&gt;=INDEX(Bolos!$D:$D,MATCH(B180,Bolos!$A:$A,0)),D180&lt;=INDEX(Bolos!$E:$E,MATCH(B180,Bolos!$A:$A,0))),"OK","Fora do limite"),""))</f>
        <v/>
      </c>
      <c r="K180" s="14"/>
      <c r="L180" s="13" t="str">
        <f aca="false">IF(K180="","",ROUND(K180*(1-'Como usar'!$B$26),2))</f>
        <v/>
      </c>
      <c r="M180" s="5" t="str">
        <f aca="false">IF(B180="","",IF(AND(G180="Inativo",IFERROR(INDEX(Bolos!$O:$O,MATCH(B180,Bolos!$A:$A,0)),"")="Sim",K180&lt;&gt;""),"Sim","Não"))</f>
        <v/>
      </c>
      <c r="N180" s="14"/>
    </row>
    <row r="181" customFormat="false" ht="15" hidden="false" customHeight="true" outlineLevel="0" collapsed="false">
      <c r="E181" s="5" t="str">
        <f aca="false">IF(B181="","",IFERROR(INDEX(Bolos!$B:$B,MATCH(B181,Bolos!$A:$A,0))&amp;IF(C181="",""," — "&amp;C181)&amp;" — "&amp;D181&amp;" andares",""))</f>
        <v/>
      </c>
      <c r="F181" s="14"/>
      <c r="G181" s="5" t="str">
        <f aca="false">IF(B181="","",IFERROR(INDEX(Bolos!$J:$J,MATCH(B181,Bolos!$A:$A,0)),"Código não encontrado"))</f>
        <v/>
      </c>
      <c r="H181" s="5" t="str">
        <f aca="false">IF(B181="","",IF(G181="Disponível","Sim","Não"))</f>
        <v/>
      </c>
      <c r="I181" s="5" t="str">
        <f aca="false">IF(OR(B181="",D181=""),"",IFERROR(IF(AND(D181&gt;=INDEX(Bolos!$D:$D,MATCH(B181,Bolos!$A:$A,0)),D181&lt;=INDEX(Bolos!$E:$E,MATCH(B181,Bolos!$A:$A,0))),"OK","Fora do limite"),""))</f>
        <v/>
      </c>
      <c r="K181" s="14"/>
      <c r="L181" s="13" t="str">
        <f aca="false">IF(K181="","",ROUND(K181*(1-'Como usar'!$B$26),2))</f>
        <v/>
      </c>
      <c r="M181" s="5" t="str">
        <f aca="false">IF(B181="","",IF(AND(G181="Inativo",IFERROR(INDEX(Bolos!$O:$O,MATCH(B181,Bolos!$A:$A,0)),"")="Sim",K181&lt;&gt;""),"Sim","Não"))</f>
        <v/>
      </c>
      <c r="N181" s="14"/>
    </row>
    <row r="182" customFormat="false" ht="15" hidden="false" customHeight="true" outlineLevel="0" collapsed="false">
      <c r="E182" s="5" t="str">
        <f aca="false">IF(B182="","",IFERROR(INDEX(Bolos!$B:$B,MATCH(B182,Bolos!$A:$A,0))&amp;IF(C182="",""," — "&amp;C182)&amp;" — "&amp;D182&amp;" andares",""))</f>
        <v/>
      </c>
      <c r="F182" s="14"/>
      <c r="G182" s="5" t="str">
        <f aca="false">IF(B182="","",IFERROR(INDEX(Bolos!$J:$J,MATCH(B182,Bolos!$A:$A,0)),"Código não encontrado"))</f>
        <v/>
      </c>
      <c r="H182" s="5" t="str">
        <f aca="false">IF(B182="","",IF(G182="Disponível","Sim","Não"))</f>
        <v/>
      </c>
      <c r="I182" s="5" t="str">
        <f aca="false">IF(OR(B182="",D182=""),"",IFERROR(IF(AND(D182&gt;=INDEX(Bolos!$D:$D,MATCH(B182,Bolos!$A:$A,0)),D182&lt;=INDEX(Bolos!$E:$E,MATCH(B182,Bolos!$A:$A,0))),"OK","Fora do limite"),""))</f>
        <v/>
      </c>
      <c r="K182" s="14"/>
      <c r="L182" s="13" t="str">
        <f aca="false">IF(K182="","",ROUND(K182*(1-'Como usar'!$B$26),2))</f>
        <v/>
      </c>
      <c r="M182" s="5" t="str">
        <f aca="false">IF(B182="","",IF(AND(G182="Inativo",IFERROR(INDEX(Bolos!$O:$O,MATCH(B182,Bolos!$A:$A,0)),"")="Sim",K182&lt;&gt;""),"Sim","Não"))</f>
        <v/>
      </c>
      <c r="N182" s="14"/>
    </row>
    <row r="183" customFormat="false" ht="15" hidden="false" customHeight="true" outlineLevel="0" collapsed="false">
      <c r="E183" s="5" t="str">
        <f aca="false">IF(B183="","",IFERROR(INDEX(Bolos!$B:$B,MATCH(B183,Bolos!$A:$A,0))&amp;IF(C183="",""," — "&amp;C183)&amp;" — "&amp;D183&amp;" andares",""))</f>
        <v/>
      </c>
      <c r="F183" s="14"/>
      <c r="G183" s="5" t="str">
        <f aca="false">IF(B183="","",IFERROR(INDEX(Bolos!$J:$J,MATCH(B183,Bolos!$A:$A,0)),"Código não encontrado"))</f>
        <v/>
      </c>
      <c r="H183" s="5" t="str">
        <f aca="false">IF(B183="","",IF(G183="Disponível","Sim","Não"))</f>
        <v/>
      </c>
      <c r="I183" s="5" t="str">
        <f aca="false">IF(OR(B183="",D183=""),"",IFERROR(IF(AND(D183&gt;=INDEX(Bolos!$D:$D,MATCH(B183,Bolos!$A:$A,0)),D183&lt;=INDEX(Bolos!$E:$E,MATCH(B183,Bolos!$A:$A,0))),"OK","Fora do limite"),""))</f>
        <v/>
      </c>
      <c r="K183" s="14"/>
      <c r="L183" s="13" t="str">
        <f aca="false">IF(K183="","",ROUND(K183*(1-'Como usar'!$B$26),2))</f>
        <v/>
      </c>
      <c r="M183" s="5" t="str">
        <f aca="false">IF(B183="","",IF(AND(G183="Inativo",IFERROR(INDEX(Bolos!$O:$O,MATCH(B183,Bolos!$A:$A,0)),"")="Sim",K183&lt;&gt;""),"Sim","Não"))</f>
        <v/>
      </c>
      <c r="N183" s="14"/>
    </row>
    <row r="184" customFormat="false" ht="15" hidden="false" customHeight="true" outlineLevel="0" collapsed="false">
      <c r="E184" s="5" t="str">
        <f aca="false">IF(B184="","",IFERROR(INDEX(Bolos!$B:$B,MATCH(B184,Bolos!$A:$A,0))&amp;IF(C184="",""," — "&amp;C184)&amp;" — "&amp;D184&amp;" andares",""))</f>
        <v/>
      </c>
      <c r="F184" s="14"/>
      <c r="G184" s="5" t="str">
        <f aca="false">IF(B184="","",IFERROR(INDEX(Bolos!$J:$J,MATCH(B184,Bolos!$A:$A,0)),"Código não encontrado"))</f>
        <v/>
      </c>
      <c r="H184" s="5" t="str">
        <f aca="false">IF(B184="","",IF(G184="Disponível","Sim","Não"))</f>
        <v/>
      </c>
      <c r="I184" s="5" t="str">
        <f aca="false">IF(OR(B184="",D184=""),"",IFERROR(IF(AND(D184&gt;=INDEX(Bolos!$D:$D,MATCH(B184,Bolos!$A:$A,0)),D184&lt;=INDEX(Bolos!$E:$E,MATCH(B184,Bolos!$A:$A,0))),"OK","Fora do limite"),""))</f>
        <v/>
      </c>
      <c r="K184" s="14"/>
      <c r="L184" s="13" t="str">
        <f aca="false">IF(K184="","",ROUND(K184*(1-'Como usar'!$B$26),2))</f>
        <v/>
      </c>
      <c r="M184" s="5" t="str">
        <f aca="false">IF(B184="","",IF(AND(G184="Inativo",IFERROR(INDEX(Bolos!$O:$O,MATCH(B184,Bolos!$A:$A,0)),"")="Sim",K184&lt;&gt;""),"Sim","Não"))</f>
        <v/>
      </c>
      <c r="N184" s="14"/>
    </row>
    <row r="185" customFormat="false" ht="15" hidden="false" customHeight="true" outlineLevel="0" collapsed="false">
      <c r="E185" s="5" t="str">
        <f aca="false">IF(B185="","",IFERROR(INDEX(Bolos!$B:$B,MATCH(B185,Bolos!$A:$A,0))&amp;IF(C185="",""," — "&amp;C185)&amp;" — "&amp;D185&amp;" andares",""))</f>
        <v/>
      </c>
      <c r="F185" s="14"/>
      <c r="G185" s="5" t="str">
        <f aca="false">IF(B185="","",IFERROR(INDEX(Bolos!$J:$J,MATCH(B185,Bolos!$A:$A,0)),"Código não encontrado"))</f>
        <v/>
      </c>
      <c r="H185" s="5" t="str">
        <f aca="false">IF(B185="","",IF(G185="Disponível","Sim","Não"))</f>
        <v/>
      </c>
      <c r="I185" s="5" t="str">
        <f aca="false">IF(OR(B185="",D185=""),"",IFERROR(IF(AND(D185&gt;=INDEX(Bolos!$D:$D,MATCH(B185,Bolos!$A:$A,0)),D185&lt;=INDEX(Bolos!$E:$E,MATCH(B185,Bolos!$A:$A,0))),"OK","Fora do limite"),""))</f>
        <v/>
      </c>
      <c r="K185" s="14"/>
      <c r="L185" s="13" t="str">
        <f aca="false">IF(K185="","",ROUND(K185*(1-'Como usar'!$B$26),2))</f>
        <v/>
      </c>
      <c r="M185" s="5" t="str">
        <f aca="false">IF(B185="","",IF(AND(G185="Inativo",IFERROR(INDEX(Bolos!$O:$O,MATCH(B185,Bolos!$A:$A,0)),"")="Sim",K185&lt;&gt;""),"Sim","Não"))</f>
        <v/>
      </c>
      <c r="N185" s="14"/>
    </row>
    <row r="186" customFormat="false" ht="15" hidden="false" customHeight="true" outlineLevel="0" collapsed="false">
      <c r="E186" s="5" t="str">
        <f aca="false">IF(B186="","",IFERROR(INDEX(Bolos!$B:$B,MATCH(B186,Bolos!$A:$A,0))&amp;IF(C186="",""," — "&amp;C186)&amp;" — "&amp;D186&amp;" andares",""))</f>
        <v/>
      </c>
      <c r="F186" s="14"/>
      <c r="G186" s="5" t="str">
        <f aca="false">IF(B186="","",IFERROR(INDEX(Bolos!$J:$J,MATCH(B186,Bolos!$A:$A,0)),"Código não encontrado"))</f>
        <v/>
      </c>
      <c r="H186" s="5" t="str">
        <f aca="false">IF(B186="","",IF(G186="Disponível","Sim","Não"))</f>
        <v/>
      </c>
      <c r="I186" s="5" t="str">
        <f aca="false">IF(OR(B186="",D186=""),"",IFERROR(IF(AND(D186&gt;=INDEX(Bolos!$D:$D,MATCH(B186,Bolos!$A:$A,0)),D186&lt;=INDEX(Bolos!$E:$E,MATCH(B186,Bolos!$A:$A,0))),"OK","Fora do limite"),""))</f>
        <v/>
      </c>
      <c r="K186" s="14"/>
      <c r="L186" s="13" t="str">
        <f aca="false">IF(K186="","",ROUND(K186*(1-'Como usar'!$B$26),2))</f>
        <v/>
      </c>
      <c r="M186" s="5" t="str">
        <f aca="false">IF(B186="","",IF(AND(G186="Inativo",IFERROR(INDEX(Bolos!$O:$O,MATCH(B186,Bolos!$A:$A,0)),"")="Sim",K186&lt;&gt;""),"Sim","Não"))</f>
        <v/>
      </c>
      <c r="N186" s="14"/>
    </row>
    <row r="187" customFormat="false" ht="15" hidden="false" customHeight="true" outlineLevel="0" collapsed="false">
      <c r="E187" s="5" t="str">
        <f aca="false">IF(B187="","",IFERROR(INDEX(Bolos!$B:$B,MATCH(B187,Bolos!$A:$A,0))&amp;IF(C187="",""," — "&amp;C187)&amp;" — "&amp;D187&amp;" andares",""))</f>
        <v/>
      </c>
      <c r="F187" s="14"/>
      <c r="G187" s="5" t="str">
        <f aca="false">IF(B187="","",IFERROR(INDEX(Bolos!$J:$J,MATCH(B187,Bolos!$A:$A,0)),"Código não encontrado"))</f>
        <v/>
      </c>
      <c r="H187" s="5" t="str">
        <f aca="false">IF(B187="","",IF(G187="Disponível","Sim","Não"))</f>
        <v/>
      </c>
      <c r="I187" s="5" t="str">
        <f aca="false">IF(OR(B187="",D187=""),"",IFERROR(IF(AND(D187&gt;=INDEX(Bolos!$D:$D,MATCH(B187,Bolos!$A:$A,0)),D187&lt;=INDEX(Bolos!$E:$E,MATCH(B187,Bolos!$A:$A,0))),"OK","Fora do limite"),""))</f>
        <v/>
      </c>
      <c r="K187" s="14"/>
      <c r="L187" s="13" t="str">
        <f aca="false">IF(K187="","",ROUND(K187*(1-'Como usar'!$B$26),2))</f>
        <v/>
      </c>
      <c r="M187" s="5" t="str">
        <f aca="false">IF(B187="","",IF(AND(G187="Inativo",IFERROR(INDEX(Bolos!$O:$O,MATCH(B187,Bolos!$A:$A,0)),"")="Sim",K187&lt;&gt;""),"Sim","Não"))</f>
        <v/>
      </c>
      <c r="N187" s="14"/>
    </row>
    <row r="188" customFormat="false" ht="15" hidden="false" customHeight="true" outlineLevel="0" collapsed="false">
      <c r="E188" s="5" t="str">
        <f aca="false">IF(B188="","",IFERROR(INDEX(Bolos!$B:$B,MATCH(B188,Bolos!$A:$A,0))&amp;IF(C188="",""," — "&amp;C188)&amp;" — "&amp;D188&amp;" andares",""))</f>
        <v/>
      </c>
      <c r="F188" s="14"/>
      <c r="G188" s="5" t="str">
        <f aca="false">IF(B188="","",IFERROR(INDEX(Bolos!$J:$J,MATCH(B188,Bolos!$A:$A,0)),"Código não encontrado"))</f>
        <v/>
      </c>
      <c r="H188" s="5" t="str">
        <f aca="false">IF(B188="","",IF(G188="Disponível","Sim","Não"))</f>
        <v/>
      </c>
      <c r="I188" s="5" t="str">
        <f aca="false">IF(OR(B188="",D188=""),"",IFERROR(IF(AND(D188&gt;=INDEX(Bolos!$D:$D,MATCH(B188,Bolos!$A:$A,0)),D188&lt;=INDEX(Bolos!$E:$E,MATCH(B188,Bolos!$A:$A,0))),"OK","Fora do limite"),""))</f>
        <v/>
      </c>
      <c r="K188" s="14"/>
      <c r="L188" s="13" t="str">
        <f aca="false">IF(K188="","",ROUND(K188*(1-'Como usar'!$B$26),2))</f>
        <v/>
      </c>
      <c r="M188" s="5" t="str">
        <f aca="false">IF(B188="","",IF(AND(G188="Inativo",IFERROR(INDEX(Bolos!$O:$O,MATCH(B188,Bolos!$A:$A,0)),"")="Sim",K188&lt;&gt;""),"Sim","Não"))</f>
        <v/>
      </c>
      <c r="N188" s="14"/>
    </row>
    <row r="189" customFormat="false" ht="15" hidden="false" customHeight="true" outlineLevel="0" collapsed="false">
      <c r="E189" s="5" t="str">
        <f aca="false">IF(B189="","",IFERROR(INDEX(Bolos!$B:$B,MATCH(B189,Bolos!$A:$A,0))&amp;IF(C189="",""," — "&amp;C189)&amp;" — "&amp;D189&amp;" andares",""))</f>
        <v/>
      </c>
      <c r="F189" s="14"/>
      <c r="G189" s="5" t="str">
        <f aca="false">IF(B189="","",IFERROR(INDEX(Bolos!$J:$J,MATCH(B189,Bolos!$A:$A,0)),"Código não encontrado"))</f>
        <v/>
      </c>
      <c r="H189" s="5" t="str">
        <f aca="false">IF(B189="","",IF(G189="Disponível","Sim","Não"))</f>
        <v/>
      </c>
      <c r="I189" s="5" t="str">
        <f aca="false">IF(OR(B189="",D189=""),"",IFERROR(IF(AND(D189&gt;=INDEX(Bolos!$D:$D,MATCH(B189,Bolos!$A:$A,0)),D189&lt;=INDEX(Bolos!$E:$E,MATCH(B189,Bolos!$A:$A,0))),"OK","Fora do limite"),""))</f>
        <v/>
      </c>
      <c r="K189" s="14"/>
      <c r="L189" s="13" t="str">
        <f aca="false">IF(K189="","",ROUND(K189*(1-'Como usar'!$B$26),2))</f>
        <v/>
      </c>
      <c r="M189" s="5" t="str">
        <f aca="false">IF(B189="","",IF(AND(G189="Inativo",IFERROR(INDEX(Bolos!$O:$O,MATCH(B189,Bolos!$A:$A,0)),"")="Sim",K189&lt;&gt;""),"Sim","Não"))</f>
        <v/>
      </c>
      <c r="N189" s="14"/>
    </row>
    <row r="190" customFormat="false" ht="15" hidden="false" customHeight="true" outlineLevel="0" collapsed="false">
      <c r="E190" s="5" t="str">
        <f aca="false">IF(B190="","",IFERROR(INDEX(Bolos!$B:$B,MATCH(B190,Bolos!$A:$A,0))&amp;IF(C190="",""," — "&amp;C190)&amp;" — "&amp;D190&amp;" andares",""))</f>
        <v/>
      </c>
      <c r="F190" s="14"/>
      <c r="G190" s="5" t="str">
        <f aca="false">IF(B190="","",IFERROR(INDEX(Bolos!$J:$J,MATCH(B190,Bolos!$A:$A,0)),"Código não encontrado"))</f>
        <v/>
      </c>
      <c r="H190" s="5" t="str">
        <f aca="false">IF(B190="","",IF(G190="Disponível","Sim","Não"))</f>
        <v/>
      </c>
      <c r="I190" s="5" t="str">
        <f aca="false">IF(OR(B190="",D190=""),"",IFERROR(IF(AND(D190&gt;=INDEX(Bolos!$D:$D,MATCH(B190,Bolos!$A:$A,0)),D190&lt;=INDEX(Bolos!$E:$E,MATCH(B190,Bolos!$A:$A,0))),"OK","Fora do limite"),""))</f>
        <v/>
      </c>
      <c r="K190" s="14"/>
      <c r="L190" s="13" t="str">
        <f aca="false">IF(K190="","",ROUND(K190*(1-'Como usar'!$B$26),2))</f>
        <v/>
      </c>
      <c r="M190" s="5" t="str">
        <f aca="false">IF(B190="","",IF(AND(G190="Inativo",IFERROR(INDEX(Bolos!$O:$O,MATCH(B190,Bolos!$A:$A,0)),"")="Sim",K190&lt;&gt;""),"Sim","Não"))</f>
        <v/>
      </c>
      <c r="N190" s="14"/>
    </row>
    <row r="191" customFormat="false" ht="15" hidden="false" customHeight="true" outlineLevel="0" collapsed="false">
      <c r="E191" s="5" t="str">
        <f aca="false">IF(B191="","",IFERROR(INDEX(Bolos!$B:$B,MATCH(B191,Bolos!$A:$A,0))&amp;IF(C191="",""," — "&amp;C191)&amp;" — "&amp;D191&amp;" andares",""))</f>
        <v/>
      </c>
      <c r="F191" s="14"/>
      <c r="G191" s="5" t="str">
        <f aca="false">IF(B191="","",IFERROR(INDEX(Bolos!$J:$J,MATCH(B191,Bolos!$A:$A,0)),"Código não encontrado"))</f>
        <v/>
      </c>
      <c r="H191" s="5" t="str">
        <f aca="false">IF(B191="","",IF(G191="Disponível","Sim","Não"))</f>
        <v/>
      </c>
      <c r="I191" s="5" t="str">
        <f aca="false">IF(OR(B191="",D191=""),"",IFERROR(IF(AND(D191&gt;=INDEX(Bolos!$D:$D,MATCH(B191,Bolos!$A:$A,0)),D191&lt;=INDEX(Bolos!$E:$E,MATCH(B191,Bolos!$A:$A,0))),"OK","Fora do limite"),""))</f>
        <v/>
      </c>
      <c r="K191" s="14"/>
      <c r="L191" s="13" t="str">
        <f aca="false">IF(K191="","",ROUND(K191*(1-'Como usar'!$B$26),2))</f>
        <v/>
      </c>
      <c r="M191" s="5" t="str">
        <f aca="false">IF(B191="","",IF(AND(G191="Inativo",IFERROR(INDEX(Bolos!$O:$O,MATCH(B191,Bolos!$A:$A,0)),"")="Sim",K191&lt;&gt;""),"Sim","Não"))</f>
        <v/>
      </c>
      <c r="N191" s="14"/>
    </row>
    <row r="192" customFormat="false" ht="15" hidden="false" customHeight="true" outlineLevel="0" collapsed="false">
      <c r="E192" s="5" t="str">
        <f aca="false">IF(B192="","",IFERROR(INDEX(Bolos!$B:$B,MATCH(B192,Bolos!$A:$A,0))&amp;IF(C192="",""," — "&amp;C192)&amp;" — "&amp;D192&amp;" andares",""))</f>
        <v/>
      </c>
      <c r="F192" s="14"/>
      <c r="G192" s="5" t="str">
        <f aca="false">IF(B192="","",IFERROR(INDEX(Bolos!$J:$J,MATCH(B192,Bolos!$A:$A,0)),"Código não encontrado"))</f>
        <v/>
      </c>
      <c r="H192" s="5" t="str">
        <f aca="false">IF(B192="","",IF(G192="Disponível","Sim","Não"))</f>
        <v/>
      </c>
      <c r="I192" s="5" t="str">
        <f aca="false">IF(OR(B192="",D192=""),"",IFERROR(IF(AND(D192&gt;=INDEX(Bolos!$D:$D,MATCH(B192,Bolos!$A:$A,0)),D192&lt;=INDEX(Bolos!$E:$E,MATCH(B192,Bolos!$A:$A,0))),"OK","Fora do limite"),""))</f>
        <v/>
      </c>
      <c r="K192" s="14"/>
      <c r="L192" s="13" t="str">
        <f aca="false">IF(K192="","",ROUND(K192*(1-'Como usar'!$B$26),2))</f>
        <v/>
      </c>
      <c r="M192" s="5" t="str">
        <f aca="false">IF(B192="","",IF(AND(G192="Inativo",IFERROR(INDEX(Bolos!$O:$O,MATCH(B192,Bolos!$A:$A,0)),"")="Sim",K192&lt;&gt;""),"Sim","Não"))</f>
        <v/>
      </c>
      <c r="N192" s="14"/>
    </row>
    <row r="193" customFormat="false" ht="15" hidden="false" customHeight="true" outlineLevel="0" collapsed="false">
      <c r="E193" s="5" t="str">
        <f aca="false">IF(B193="","",IFERROR(INDEX(Bolos!$B:$B,MATCH(B193,Bolos!$A:$A,0))&amp;IF(C193="",""," — "&amp;C193)&amp;" — "&amp;D193&amp;" andares",""))</f>
        <v/>
      </c>
      <c r="F193" s="14"/>
      <c r="G193" s="5" t="str">
        <f aca="false">IF(B193="","",IFERROR(INDEX(Bolos!$J:$J,MATCH(B193,Bolos!$A:$A,0)),"Código não encontrado"))</f>
        <v/>
      </c>
      <c r="H193" s="5" t="str">
        <f aca="false">IF(B193="","",IF(G193="Disponível","Sim","Não"))</f>
        <v/>
      </c>
      <c r="I193" s="5" t="str">
        <f aca="false">IF(OR(B193="",D193=""),"",IFERROR(IF(AND(D193&gt;=INDEX(Bolos!$D:$D,MATCH(B193,Bolos!$A:$A,0)),D193&lt;=INDEX(Bolos!$E:$E,MATCH(B193,Bolos!$A:$A,0))),"OK","Fora do limite"),""))</f>
        <v/>
      </c>
      <c r="K193" s="14"/>
      <c r="L193" s="13" t="str">
        <f aca="false">IF(K193="","",ROUND(K193*(1-'Como usar'!$B$26),2))</f>
        <v/>
      </c>
      <c r="M193" s="5" t="str">
        <f aca="false">IF(B193="","",IF(AND(G193="Inativo",IFERROR(INDEX(Bolos!$O:$O,MATCH(B193,Bolos!$A:$A,0)),"")="Sim",K193&lt;&gt;""),"Sim","Não"))</f>
        <v/>
      </c>
      <c r="N193" s="14"/>
    </row>
    <row r="194" customFormat="false" ht="15" hidden="false" customHeight="true" outlineLevel="0" collapsed="false">
      <c r="E194" s="5" t="str">
        <f aca="false">IF(B194="","",IFERROR(INDEX(Bolos!$B:$B,MATCH(B194,Bolos!$A:$A,0))&amp;IF(C194="",""," — "&amp;C194)&amp;" — "&amp;D194&amp;" andares",""))</f>
        <v/>
      </c>
      <c r="F194" s="14"/>
      <c r="G194" s="5" t="str">
        <f aca="false">IF(B194="","",IFERROR(INDEX(Bolos!$J:$J,MATCH(B194,Bolos!$A:$A,0)),"Código não encontrado"))</f>
        <v/>
      </c>
      <c r="H194" s="5" t="str">
        <f aca="false">IF(B194="","",IF(G194="Disponível","Sim","Não"))</f>
        <v/>
      </c>
      <c r="I194" s="5" t="str">
        <f aca="false">IF(OR(B194="",D194=""),"",IFERROR(IF(AND(D194&gt;=INDEX(Bolos!$D:$D,MATCH(B194,Bolos!$A:$A,0)),D194&lt;=INDEX(Bolos!$E:$E,MATCH(B194,Bolos!$A:$A,0))),"OK","Fora do limite"),""))</f>
        <v/>
      </c>
      <c r="K194" s="14"/>
      <c r="L194" s="13" t="str">
        <f aca="false">IF(K194="","",ROUND(K194*(1-'Como usar'!$B$26),2))</f>
        <v/>
      </c>
      <c r="M194" s="5" t="str">
        <f aca="false">IF(B194="","",IF(AND(G194="Inativo",IFERROR(INDEX(Bolos!$O:$O,MATCH(B194,Bolos!$A:$A,0)),"")="Sim",K194&lt;&gt;""),"Sim","Não"))</f>
        <v/>
      </c>
      <c r="N194" s="14"/>
    </row>
    <row r="195" customFormat="false" ht="15" hidden="false" customHeight="true" outlineLevel="0" collapsed="false">
      <c r="E195" s="5" t="str">
        <f aca="false">IF(B195="","",IFERROR(INDEX(Bolos!$B:$B,MATCH(B195,Bolos!$A:$A,0))&amp;IF(C195="",""," — "&amp;C195)&amp;" — "&amp;D195&amp;" andares",""))</f>
        <v/>
      </c>
      <c r="F195" s="14"/>
      <c r="G195" s="5" t="str">
        <f aca="false">IF(B195="","",IFERROR(INDEX(Bolos!$J:$J,MATCH(B195,Bolos!$A:$A,0)),"Código não encontrado"))</f>
        <v/>
      </c>
      <c r="H195" s="5" t="str">
        <f aca="false">IF(B195="","",IF(G195="Disponível","Sim","Não"))</f>
        <v/>
      </c>
      <c r="I195" s="5" t="str">
        <f aca="false">IF(OR(B195="",D195=""),"",IFERROR(IF(AND(D195&gt;=INDEX(Bolos!$D:$D,MATCH(B195,Bolos!$A:$A,0)),D195&lt;=INDEX(Bolos!$E:$E,MATCH(B195,Bolos!$A:$A,0))),"OK","Fora do limite"),""))</f>
        <v/>
      </c>
      <c r="K195" s="14"/>
      <c r="L195" s="13" t="str">
        <f aca="false">IF(K195="","",ROUND(K195*(1-'Como usar'!$B$26),2))</f>
        <v/>
      </c>
      <c r="M195" s="5" t="str">
        <f aca="false">IF(B195="","",IF(AND(G195="Inativo",IFERROR(INDEX(Bolos!$O:$O,MATCH(B195,Bolos!$A:$A,0)),"")="Sim",K195&lt;&gt;""),"Sim","Não"))</f>
        <v/>
      </c>
      <c r="N195" s="14"/>
    </row>
    <row r="196" customFormat="false" ht="15" hidden="false" customHeight="true" outlineLevel="0" collapsed="false">
      <c r="E196" s="5" t="str">
        <f aca="false">IF(B196="","",IFERROR(INDEX(Bolos!$B:$B,MATCH(B196,Bolos!$A:$A,0))&amp;IF(C196="",""," — "&amp;C196)&amp;" — "&amp;D196&amp;" andares",""))</f>
        <v/>
      </c>
      <c r="F196" s="14"/>
      <c r="G196" s="5" t="str">
        <f aca="false">IF(B196="","",IFERROR(INDEX(Bolos!$J:$J,MATCH(B196,Bolos!$A:$A,0)),"Código não encontrado"))</f>
        <v/>
      </c>
      <c r="H196" s="5" t="str">
        <f aca="false">IF(B196="","",IF(G196="Disponível","Sim","Não"))</f>
        <v/>
      </c>
      <c r="I196" s="5" t="str">
        <f aca="false">IF(OR(B196="",D196=""),"",IFERROR(IF(AND(D196&gt;=INDEX(Bolos!$D:$D,MATCH(B196,Bolos!$A:$A,0)),D196&lt;=INDEX(Bolos!$E:$E,MATCH(B196,Bolos!$A:$A,0))),"OK","Fora do limite"),""))</f>
        <v/>
      </c>
      <c r="K196" s="14"/>
      <c r="L196" s="13" t="str">
        <f aca="false">IF(K196="","",ROUND(K196*(1-'Como usar'!$B$26),2))</f>
        <v/>
      </c>
      <c r="M196" s="5" t="str">
        <f aca="false">IF(B196="","",IF(AND(G196="Inativo",IFERROR(INDEX(Bolos!$O:$O,MATCH(B196,Bolos!$A:$A,0)),"")="Sim",K196&lt;&gt;""),"Sim","Não"))</f>
        <v/>
      </c>
      <c r="N196" s="14"/>
    </row>
    <row r="197" customFormat="false" ht="15" hidden="false" customHeight="true" outlineLevel="0" collapsed="false">
      <c r="E197" s="5" t="str">
        <f aca="false">IF(B197="","",IFERROR(INDEX(Bolos!$B:$B,MATCH(B197,Bolos!$A:$A,0))&amp;IF(C197="",""," — "&amp;C197)&amp;" — "&amp;D197&amp;" andares",""))</f>
        <v/>
      </c>
      <c r="F197" s="14"/>
      <c r="G197" s="5" t="str">
        <f aca="false">IF(B197="","",IFERROR(INDEX(Bolos!$J:$J,MATCH(B197,Bolos!$A:$A,0)),"Código não encontrado"))</f>
        <v/>
      </c>
      <c r="H197" s="5" t="str">
        <f aca="false">IF(B197="","",IF(G197="Disponível","Sim","Não"))</f>
        <v/>
      </c>
      <c r="I197" s="5" t="str">
        <f aca="false">IF(OR(B197="",D197=""),"",IFERROR(IF(AND(D197&gt;=INDEX(Bolos!$D:$D,MATCH(B197,Bolos!$A:$A,0)),D197&lt;=INDEX(Bolos!$E:$E,MATCH(B197,Bolos!$A:$A,0))),"OK","Fora do limite"),""))</f>
        <v/>
      </c>
      <c r="K197" s="14"/>
      <c r="L197" s="13" t="str">
        <f aca="false">IF(K197="","",ROUND(K197*(1-'Como usar'!$B$26),2))</f>
        <v/>
      </c>
      <c r="M197" s="5" t="str">
        <f aca="false">IF(B197="","",IF(AND(G197="Inativo",IFERROR(INDEX(Bolos!$O:$O,MATCH(B197,Bolos!$A:$A,0)),"")="Sim",K197&lt;&gt;""),"Sim","Não"))</f>
        <v/>
      </c>
      <c r="N197" s="14"/>
    </row>
    <row r="198" customFormat="false" ht="15" hidden="false" customHeight="true" outlineLevel="0" collapsed="false">
      <c r="E198" s="5" t="str">
        <f aca="false">IF(B198="","",IFERROR(INDEX(Bolos!$B:$B,MATCH(B198,Bolos!$A:$A,0))&amp;IF(C198="",""," — "&amp;C198)&amp;" — "&amp;D198&amp;" andares",""))</f>
        <v/>
      </c>
      <c r="F198" s="14"/>
      <c r="G198" s="5" t="str">
        <f aca="false">IF(B198="","",IFERROR(INDEX(Bolos!$J:$J,MATCH(B198,Bolos!$A:$A,0)),"Código não encontrado"))</f>
        <v/>
      </c>
      <c r="H198" s="5" t="str">
        <f aca="false">IF(B198="","",IF(G198="Disponível","Sim","Não"))</f>
        <v/>
      </c>
      <c r="I198" s="5" t="str">
        <f aca="false">IF(OR(B198="",D198=""),"",IFERROR(IF(AND(D198&gt;=INDEX(Bolos!$D:$D,MATCH(B198,Bolos!$A:$A,0)),D198&lt;=INDEX(Bolos!$E:$E,MATCH(B198,Bolos!$A:$A,0))),"OK","Fora do limite"),""))</f>
        <v/>
      </c>
      <c r="K198" s="14"/>
      <c r="L198" s="13" t="str">
        <f aca="false">IF(K198="","",ROUND(K198*(1-'Como usar'!$B$26),2))</f>
        <v/>
      </c>
      <c r="M198" s="5" t="str">
        <f aca="false">IF(B198="","",IF(AND(G198="Inativo",IFERROR(INDEX(Bolos!$O:$O,MATCH(B198,Bolos!$A:$A,0)),"")="Sim",K198&lt;&gt;""),"Sim","Não"))</f>
        <v/>
      </c>
      <c r="N198" s="14"/>
    </row>
    <row r="199" customFormat="false" ht="15" hidden="false" customHeight="true" outlineLevel="0" collapsed="false">
      <c r="E199" s="5" t="str">
        <f aca="false">IF(B199="","",IFERROR(INDEX(Bolos!$B:$B,MATCH(B199,Bolos!$A:$A,0))&amp;IF(C199="",""," — "&amp;C199)&amp;" — "&amp;D199&amp;" andares",""))</f>
        <v/>
      </c>
      <c r="F199" s="14"/>
      <c r="G199" s="5" t="str">
        <f aca="false">IF(B199="","",IFERROR(INDEX(Bolos!$J:$J,MATCH(B199,Bolos!$A:$A,0)),"Código não encontrado"))</f>
        <v/>
      </c>
      <c r="H199" s="5" t="str">
        <f aca="false">IF(B199="","",IF(G199="Disponível","Sim","Não"))</f>
        <v/>
      </c>
      <c r="I199" s="5" t="str">
        <f aca="false">IF(OR(B199="",D199=""),"",IFERROR(IF(AND(D199&gt;=INDEX(Bolos!$D:$D,MATCH(B199,Bolos!$A:$A,0)),D199&lt;=INDEX(Bolos!$E:$E,MATCH(B199,Bolos!$A:$A,0))),"OK","Fora do limite"),""))</f>
        <v/>
      </c>
      <c r="K199" s="14"/>
      <c r="L199" s="13" t="str">
        <f aca="false">IF(K199="","",ROUND(K199*(1-'Como usar'!$B$26),2))</f>
        <v/>
      </c>
      <c r="M199" s="5" t="str">
        <f aca="false">IF(B199="","",IF(AND(G199="Inativo",IFERROR(INDEX(Bolos!$O:$O,MATCH(B199,Bolos!$A:$A,0)),"")="Sim",K199&lt;&gt;""),"Sim","Não"))</f>
        <v/>
      </c>
      <c r="N199" s="14"/>
    </row>
    <row r="200" customFormat="false" ht="15" hidden="false" customHeight="true" outlineLevel="0" collapsed="false">
      <c r="E200" s="5" t="str">
        <f aca="false">IF(B200="","",IFERROR(INDEX(Bolos!$B:$B,MATCH(B200,Bolos!$A:$A,0))&amp;IF(C200="",""," — "&amp;C200)&amp;" — "&amp;D200&amp;" andares",""))</f>
        <v/>
      </c>
      <c r="F200" s="14"/>
      <c r="G200" s="5" t="str">
        <f aca="false">IF(B200="","",IFERROR(INDEX(Bolos!$J:$J,MATCH(B200,Bolos!$A:$A,0)),"Código não encontrado"))</f>
        <v/>
      </c>
      <c r="H200" s="5" t="str">
        <f aca="false">IF(B200="","",IF(G200="Disponível","Sim","Não"))</f>
        <v/>
      </c>
      <c r="I200" s="5" t="str">
        <f aca="false">IF(OR(B200="",D200=""),"",IFERROR(IF(AND(D200&gt;=INDEX(Bolos!$D:$D,MATCH(B200,Bolos!$A:$A,0)),D200&lt;=INDEX(Bolos!$E:$E,MATCH(B200,Bolos!$A:$A,0))),"OK","Fora do limite"),""))</f>
        <v/>
      </c>
      <c r="K200" s="14"/>
      <c r="L200" s="13" t="str">
        <f aca="false">IF(K200="","",ROUND(K200*(1-'Como usar'!$B$26),2))</f>
        <v/>
      </c>
      <c r="M200" s="5" t="str">
        <f aca="false">IF(B200="","",IF(AND(G200="Inativo",IFERROR(INDEX(Bolos!$O:$O,MATCH(B200,Bolos!$A:$A,0)),"")="Sim",K200&lt;&gt;""),"Sim","Não"))</f>
        <v/>
      </c>
      <c r="N200" s="14"/>
    </row>
    <row r="201" customFormat="false" ht="15" hidden="false" customHeight="true" outlineLevel="0" collapsed="false">
      <c r="E201" s="5" t="str">
        <f aca="false">IF(B201="","",IFERROR(INDEX(Bolos!$B:$B,MATCH(B201,Bolos!$A:$A,0))&amp;IF(C201="",""," — "&amp;C201)&amp;" — "&amp;D201&amp;" andares",""))</f>
        <v/>
      </c>
      <c r="F201" s="14"/>
      <c r="G201" s="5" t="str">
        <f aca="false">IF(B201="","",IFERROR(INDEX(Bolos!$J:$J,MATCH(B201,Bolos!$A:$A,0)),"Código não encontrado"))</f>
        <v/>
      </c>
      <c r="H201" s="5" t="str">
        <f aca="false">IF(B201="","",IF(G201="Disponível","Sim","Não"))</f>
        <v/>
      </c>
      <c r="I201" s="5" t="str">
        <f aca="false">IF(OR(B201="",D201=""),"",IFERROR(IF(AND(D201&gt;=INDEX(Bolos!$D:$D,MATCH(B201,Bolos!$A:$A,0)),D201&lt;=INDEX(Bolos!$E:$E,MATCH(B201,Bolos!$A:$A,0))),"OK","Fora do limite"),""))</f>
        <v/>
      </c>
      <c r="K201" s="14"/>
      <c r="L201" s="13" t="str">
        <f aca="false">IF(K201="","",ROUND(K201*(1-'Como usar'!$B$26),2))</f>
        <v/>
      </c>
      <c r="M201" s="5" t="str">
        <f aca="false">IF(B201="","",IF(AND(G201="Inativo",IFERROR(INDEX(Bolos!$O:$O,MATCH(B201,Bolos!$A:$A,0)),"")="Sim",K201&lt;&gt;""),"Sim","Não"))</f>
        <v/>
      </c>
      <c r="N201" s="14"/>
    </row>
    <row r="202" customFormat="false" ht="15" hidden="false" customHeight="true" outlineLevel="0" collapsed="false">
      <c r="E202" s="5" t="str">
        <f aca="false">IF(B202="","",IFERROR(INDEX(Bolos!$B:$B,MATCH(B202,Bolos!$A:$A,0))&amp;IF(C202="",""," — "&amp;C202)&amp;" — "&amp;D202&amp;" andares",""))</f>
        <v/>
      </c>
      <c r="F202" s="14"/>
      <c r="G202" s="5" t="str">
        <f aca="false">IF(B202="","",IFERROR(INDEX(Bolos!$J:$J,MATCH(B202,Bolos!$A:$A,0)),"Código não encontrado"))</f>
        <v/>
      </c>
      <c r="H202" s="5" t="str">
        <f aca="false">IF(B202="","",IF(G202="Disponível","Sim","Não"))</f>
        <v/>
      </c>
      <c r="I202" s="5" t="str">
        <f aca="false">IF(OR(B202="",D202=""),"",IFERROR(IF(AND(D202&gt;=INDEX(Bolos!$D:$D,MATCH(B202,Bolos!$A:$A,0)),D202&lt;=INDEX(Bolos!$E:$E,MATCH(B202,Bolos!$A:$A,0))),"OK","Fora do limite"),""))</f>
        <v/>
      </c>
      <c r="K202" s="14"/>
      <c r="L202" s="13" t="str">
        <f aca="false">IF(K202="","",ROUND(K202*(1-'Como usar'!$B$26),2))</f>
        <v/>
      </c>
      <c r="M202" s="5" t="str">
        <f aca="false">IF(B202="","",IF(AND(G202="Inativo",IFERROR(INDEX(Bolos!$O:$O,MATCH(B202,Bolos!$A:$A,0)),"")="Sim",K202&lt;&gt;""),"Sim","Não"))</f>
        <v/>
      </c>
      <c r="N202" s="14"/>
    </row>
    <row r="203" customFormat="false" ht="15" hidden="false" customHeight="true" outlineLevel="0" collapsed="false">
      <c r="E203" s="5" t="str">
        <f aca="false">IF(B203="","",IFERROR(INDEX(Bolos!$B:$B,MATCH(B203,Bolos!$A:$A,0))&amp;IF(C203="",""," — "&amp;C203)&amp;" — "&amp;D203&amp;" andares",""))</f>
        <v/>
      </c>
      <c r="F203" s="14"/>
      <c r="G203" s="5" t="str">
        <f aca="false">IF(B203="","",IFERROR(INDEX(Bolos!$J:$J,MATCH(B203,Bolos!$A:$A,0)),"Código não encontrado"))</f>
        <v/>
      </c>
      <c r="H203" s="5" t="str">
        <f aca="false">IF(B203="","",IF(G203="Disponível","Sim","Não"))</f>
        <v/>
      </c>
      <c r="I203" s="5" t="str">
        <f aca="false">IF(OR(B203="",D203=""),"",IFERROR(IF(AND(D203&gt;=INDEX(Bolos!$D:$D,MATCH(B203,Bolos!$A:$A,0)),D203&lt;=INDEX(Bolos!$E:$E,MATCH(B203,Bolos!$A:$A,0))),"OK","Fora do limite"),""))</f>
        <v/>
      </c>
      <c r="K203" s="14"/>
      <c r="L203" s="13" t="str">
        <f aca="false">IF(K203="","",ROUND(K203*(1-'Como usar'!$B$26),2))</f>
        <v/>
      </c>
      <c r="M203" s="5" t="str">
        <f aca="false">IF(B203="","",IF(AND(G203="Inativo",IFERROR(INDEX(Bolos!$O:$O,MATCH(B203,Bolos!$A:$A,0)),"")="Sim",K203&lt;&gt;""),"Sim","Não"))</f>
        <v/>
      </c>
      <c r="N203" s="14"/>
    </row>
    <row r="204" customFormat="false" ht="15" hidden="false" customHeight="true" outlineLevel="0" collapsed="false">
      <c r="E204" s="5" t="str">
        <f aca="false">IF(B204="","",IFERROR(INDEX(Bolos!$B:$B,MATCH(B204,Bolos!$A:$A,0))&amp;IF(C204="",""," — "&amp;C204)&amp;" — "&amp;D204&amp;" andares",""))</f>
        <v/>
      </c>
      <c r="F204" s="14"/>
      <c r="G204" s="5" t="str">
        <f aca="false">IF(B204="","",IFERROR(INDEX(Bolos!$J:$J,MATCH(B204,Bolos!$A:$A,0)),"Código não encontrado"))</f>
        <v/>
      </c>
      <c r="H204" s="5" t="str">
        <f aca="false">IF(B204="","",IF(G204="Disponível","Sim","Não"))</f>
        <v/>
      </c>
      <c r="I204" s="5" t="str">
        <f aca="false">IF(OR(B204="",D204=""),"",IFERROR(IF(AND(D204&gt;=INDEX(Bolos!$D:$D,MATCH(B204,Bolos!$A:$A,0)),D204&lt;=INDEX(Bolos!$E:$E,MATCH(B204,Bolos!$A:$A,0))),"OK","Fora do limite"),""))</f>
        <v/>
      </c>
      <c r="K204" s="14"/>
      <c r="L204" s="13" t="str">
        <f aca="false">IF(K204="","",ROUND(K204*(1-'Como usar'!$B$26),2))</f>
        <v/>
      </c>
      <c r="M204" s="5" t="str">
        <f aca="false">IF(B204="","",IF(AND(G204="Inativo",IFERROR(INDEX(Bolos!$O:$O,MATCH(B204,Bolos!$A:$A,0)),"")="Sim",K204&lt;&gt;""),"Sim","Não"))</f>
        <v/>
      </c>
      <c r="N204" s="14"/>
    </row>
    <row r="205" customFormat="false" ht="15" hidden="false" customHeight="true" outlineLevel="0" collapsed="false">
      <c r="E205" s="5" t="str">
        <f aca="false">IF(B205="","",IFERROR(INDEX(Bolos!$B:$B,MATCH(B205,Bolos!$A:$A,0))&amp;IF(C205="",""," — "&amp;C205)&amp;" — "&amp;D205&amp;" andares",""))</f>
        <v/>
      </c>
      <c r="F205" s="14"/>
      <c r="G205" s="5" t="str">
        <f aca="false">IF(B205="","",IFERROR(INDEX(Bolos!$J:$J,MATCH(B205,Bolos!$A:$A,0)),"Código não encontrado"))</f>
        <v/>
      </c>
      <c r="H205" s="5" t="str">
        <f aca="false">IF(B205="","",IF(G205="Disponível","Sim","Não"))</f>
        <v/>
      </c>
      <c r="I205" s="5" t="str">
        <f aca="false">IF(OR(B205="",D205=""),"",IFERROR(IF(AND(D205&gt;=INDEX(Bolos!$D:$D,MATCH(B205,Bolos!$A:$A,0)),D205&lt;=INDEX(Bolos!$E:$E,MATCH(B205,Bolos!$A:$A,0))),"OK","Fora do limite"),""))</f>
        <v/>
      </c>
      <c r="K205" s="14"/>
      <c r="L205" s="13" t="str">
        <f aca="false">IF(K205="","",ROUND(K205*(1-'Como usar'!$B$26),2))</f>
        <v/>
      </c>
      <c r="M205" s="5" t="str">
        <f aca="false">IF(B205="","",IF(AND(G205="Inativo",IFERROR(INDEX(Bolos!$O:$O,MATCH(B205,Bolos!$A:$A,0)),"")="Sim",K205&lt;&gt;""),"Sim","Não"))</f>
        <v/>
      </c>
      <c r="N205" s="14"/>
    </row>
    <row r="206" customFormat="false" ht="15" hidden="false" customHeight="true" outlineLevel="0" collapsed="false">
      <c r="E206" s="5" t="str">
        <f aca="false">IF(B206="","",IFERROR(INDEX(Bolos!$B:$B,MATCH(B206,Bolos!$A:$A,0))&amp;IF(C206="",""," — "&amp;C206)&amp;" — "&amp;D206&amp;" andares",""))</f>
        <v/>
      </c>
      <c r="F206" s="14"/>
      <c r="G206" s="5" t="str">
        <f aca="false">IF(B206="","",IFERROR(INDEX(Bolos!$J:$J,MATCH(B206,Bolos!$A:$A,0)),"Código não encontrado"))</f>
        <v/>
      </c>
      <c r="H206" s="5" t="str">
        <f aca="false">IF(B206="","",IF(G206="Disponível","Sim","Não"))</f>
        <v/>
      </c>
      <c r="I206" s="5" t="str">
        <f aca="false">IF(OR(B206="",D206=""),"",IFERROR(IF(AND(D206&gt;=INDEX(Bolos!$D:$D,MATCH(B206,Bolos!$A:$A,0)),D206&lt;=INDEX(Bolos!$E:$E,MATCH(B206,Bolos!$A:$A,0))),"OK","Fora do limite"),""))</f>
        <v/>
      </c>
      <c r="K206" s="14"/>
      <c r="L206" s="13" t="str">
        <f aca="false">IF(K206="","",ROUND(K206*(1-'Como usar'!$B$26),2))</f>
        <v/>
      </c>
      <c r="M206" s="5" t="str">
        <f aca="false">IF(B206="","",IF(AND(G206="Inativo",IFERROR(INDEX(Bolos!$O:$O,MATCH(B206,Bolos!$A:$A,0)),"")="Sim",K206&lt;&gt;""),"Sim","Não"))</f>
        <v/>
      </c>
      <c r="N206" s="14"/>
    </row>
    <row r="207" customFormat="false" ht="15" hidden="false" customHeight="true" outlineLevel="0" collapsed="false">
      <c r="E207" s="5" t="str">
        <f aca="false">IF(B207="","",IFERROR(INDEX(Bolos!$B:$B,MATCH(B207,Bolos!$A:$A,0))&amp;IF(C207="",""," — "&amp;C207)&amp;" — "&amp;D207&amp;" andares",""))</f>
        <v/>
      </c>
      <c r="F207" s="14"/>
      <c r="G207" s="5" t="str">
        <f aca="false">IF(B207="","",IFERROR(INDEX(Bolos!$J:$J,MATCH(B207,Bolos!$A:$A,0)),"Código não encontrado"))</f>
        <v/>
      </c>
      <c r="H207" s="5" t="str">
        <f aca="false">IF(B207="","",IF(G207="Disponível","Sim","Não"))</f>
        <v/>
      </c>
      <c r="I207" s="5" t="str">
        <f aca="false">IF(OR(B207="",D207=""),"",IFERROR(IF(AND(D207&gt;=INDEX(Bolos!$D:$D,MATCH(B207,Bolos!$A:$A,0)),D207&lt;=INDEX(Bolos!$E:$E,MATCH(B207,Bolos!$A:$A,0))),"OK","Fora do limite"),""))</f>
        <v/>
      </c>
      <c r="K207" s="14"/>
      <c r="L207" s="13" t="str">
        <f aca="false">IF(K207="","",ROUND(K207*(1-'Como usar'!$B$26),2))</f>
        <v/>
      </c>
      <c r="M207" s="5" t="str">
        <f aca="false">IF(B207="","",IF(AND(G207="Inativo",IFERROR(INDEX(Bolos!$O:$O,MATCH(B207,Bolos!$A:$A,0)),"")="Sim",K207&lt;&gt;""),"Sim","Não"))</f>
        <v/>
      </c>
      <c r="N207" s="14"/>
    </row>
    <row r="208" customFormat="false" ht="15" hidden="false" customHeight="true" outlineLevel="0" collapsed="false">
      <c r="E208" s="5" t="str">
        <f aca="false">IF(B208="","",IFERROR(INDEX(Bolos!$B:$B,MATCH(B208,Bolos!$A:$A,0))&amp;IF(C208="",""," — "&amp;C208)&amp;" — "&amp;D208&amp;" andares",""))</f>
        <v/>
      </c>
      <c r="F208" s="14"/>
      <c r="G208" s="5" t="str">
        <f aca="false">IF(B208="","",IFERROR(INDEX(Bolos!$J:$J,MATCH(B208,Bolos!$A:$A,0)),"Código não encontrado"))</f>
        <v/>
      </c>
      <c r="H208" s="5" t="str">
        <f aca="false">IF(B208="","",IF(G208="Disponível","Sim","Não"))</f>
        <v/>
      </c>
      <c r="I208" s="5" t="str">
        <f aca="false">IF(OR(B208="",D208=""),"",IFERROR(IF(AND(D208&gt;=INDEX(Bolos!$D:$D,MATCH(B208,Bolos!$A:$A,0)),D208&lt;=INDEX(Bolos!$E:$E,MATCH(B208,Bolos!$A:$A,0))),"OK","Fora do limite"),""))</f>
        <v/>
      </c>
      <c r="K208" s="14"/>
      <c r="L208" s="13" t="str">
        <f aca="false">IF(K208="","",ROUND(K208*(1-'Como usar'!$B$26),2))</f>
        <v/>
      </c>
      <c r="M208" s="5" t="str">
        <f aca="false">IF(B208="","",IF(AND(G208="Inativo",IFERROR(INDEX(Bolos!$O:$O,MATCH(B208,Bolos!$A:$A,0)),"")="Sim",K208&lt;&gt;""),"Sim","Não"))</f>
        <v/>
      </c>
      <c r="N208" s="14"/>
    </row>
    <row r="209" customFormat="false" ht="15" hidden="false" customHeight="true" outlineLevel="0" collapsed="false">
      <c r="E209" s="5" t="str">
        <f aca="false">IF(B209="","",IFERROR(INDEX(Bolos!$B:$B,MATCH(B209,Bolos!$A:$A,0))&amp;IF(C209="",""," — "&amp;C209)&amp;" — "&amp;D209&amp;" andares",""))</f>
        <v/>
      </c>
      <c r="F209" s="14"/>
      <c r="G209" s="5" t="str">
        <f aca="false">IF(B209="","",IFERROR(INDEX(Bolos!$J:$J,MATCH(B209,Bolos!$A:$A,0)),"Código não encontrado"))</f>
        <v/>
      </c>
      <c r="H209" s="5" t="str">
        <f aca="false">IF(B209="","",IF(G209="Disponível","Sim","Não"))</f>
        <v/>
      </c>
      <c r="I209" s="5" t="str">
        <f aca="false">IF(OR(B209="",D209=""),"",IFERROR(IF(AND(D209&gt;=INDEX(Bolos!$D:$D,MATCH(B209,Bolos!$A:$A,0)),D209&lt;=INDEX(Bolos!$E:$E,MATCH(B209,Bolos!$A:$A,0))),"OK","Fora do limite"),""))</f>
        <v/>
      </c>
      <c r="K209" s="14"/>
      <c r="L209" s="13" t="str">
        <f aca="false">IF(K209="","",ROUND(K209*(1-'Como usar'!$B$26),2))</f>
        <v/>
      </c>
      <c r="M209" s="5" t="str">
        <f aca="false">IF(B209="","",IF(AND(G209="Inativo",IFERROR(INDEX(Bolos!$O:$O,MATCH(B209,Bolos!$A:$A,0)),"")="Sim",K209&lt;&gt;""),"Sim","Não"))</f>
        <v/>
      </c>
      <c r="N209" s="14"/>
    </row>
    <row r="210" customFormat="false" ht="15" hidden="false" customHeight="true" outlineLevel="0" collapsed="false">
      <c r="E210" s="5" t="str">
        <f aca="false">IF(B210="","",IFERROR(INDEX(Bolos!$B:$B,MATCH(B210,Bolos!$A:$A,0))&amp;IF(C210="",""," — "&amp;C210)&amp;" — "&amp;D210&amp;" andares",""))</f>
        <v/>
      </c>
      <c r="F210" s="14"/>
      <c r="G210" s="5" t="str">
        <f aca="false">IF(B210="","",IFERROR(INDEX(Bolos!$J:$J,MATCH(B210,Bolos!$A:$A,0)),"Código não encontrado"))</f>
        <v/>
      </c>
      <c r="H210" s="5" t="str">
        <f aca="false">IF(B210="","",IF(G210="Disponível","Sim","Não"))</f>
        <v/>
      </c>
      <c r="I210" s="5" t="str">
        <f aca="false">IF(OR(B210="",D210=""),"",IFERROR(IF(AND(D210&gt;=INDEX(Bolos!$D:$D,MATCH(B210,Bolos!$A:$A,0)),D210&lt;=INDEX(Bolos!$E:$E,MATCH(B210,Bolos!$A:$A,0))),"OK","Fora do limite"),""))</f>
        <v/>
      </c>
      <c r="K210" s="14"/>
      <c r="L210" s="13" t="str">
        <f aca="false">IF(K210="","",ROUND(K210*(1-'Como usar'!$B$26),2))</f>
        <v/>
      </c>
      <c r="M210" s="5" t="str">
        <f aca="false">IF(B210="","",IF(AND(G210="Inativo",IFERROR(INDEX(Bolos!$O:$O,MATCH(B210,Bolos!$A:$A,0)),"")="Sim",K210&lt;&gt;""),"Sim","Não"))</f>
        <v/>
      </c>
      <c r="N210" s="14"/>
    </row>
    <row r="211" customFormat="false" ht="15" hidden="false" customHeight="true" outlineLevel="0" collapsed="false">
      <c r="E211" s="5" t="str">
        <f aca="false">IF(B211="","",IFERROR(INDEX(Bolos!$B:$B,MATCH(B211,Bolos!$A:$A,0))&amp;IF(C211="",""," — "&amp;C211)&amp;" — "&amp;D211&amp;" andares",""))</f>
        <v/>
      </c>
      <c r="F211" s="14"/>
      <c r="G211" s="5" t="str">
        <f aca="false">IF(B211="","",IFERROR(INDEX(Bolos!$J:$J,MATCH(B211,Bolos!$A:$A,0)),"Código não encontrado"))</f>
        <v/>
      </c>
      <c r="H211" s="5" t="str">
        <f aca="false">IF(B211="","",IF(G211="Disponível","Sim","Não"))</f>
        <v/>
      </c>
      <c r="I211" s="5" t="str">
        <f aca="false">IF(OR(B211="",D211=""),"",IFERROR(IF(AND(D211&gt;=INDEX(Bolos!$D:$D,MATCH(B211,Bolos!$A:$A,0)),D211&lt;=INDEX(Bolos!$E:$E,MATCH(B211,Bolos!$A:$A,0))),"OK","Fora do limite"),""))</f>
        <v/>
      </c>
      <c r="K211" s="14"/>
      <c r="L211" s="13" t="str">
        <f aca="false">IF(K211="","",ROUND(K211*(1-'Como usar'!$B$26),2))</f>
        <v/>
      </c>
      <c r="M211" s="5" t="str">
        <f aca="false">IF(B211="","",IF(AND(G211="Inativo",IFERROR(INDEX(Bolos!$O:$O,MATCH(B211,Bolos!$A:$A,0)),"")="Sim",K211&lt;&gt;""),"Sim","Não"))</f>
        <v/>
      </c>
      <c r="N211" s="14"/>
    </row>
    <row r="212" customFormat="false" ht="15" hidden="false" customHeight="true" outlineLevel="0" collapsed="false">
      <c r="E212" s="5" t="str">
        <f aca="false">IF(B212="","",IFERROR(INDEX(Bolos!$B:$B,MATCH(B212,Bolos!$A:$A,0))&amp;IF(C212="",""," — "&amp;C212)&amp;" — "&amp;D212&amp;" andares",""))</f>
        <v/>
      </c>
      <c r="F212" s="14"/>
      <c r="G212" s="5" t="str">
        <f aca="false">IF(B212="","",IFERROR(INDEX(Bolos!$J:$J,MATCH(B212,Bolos!$A:$A,0)),"Código não encontrado"))</f>
        <v/>
      </c>
      <c r="H212" s="5" t="str">
        <f aca="false">IF(B212="","",IF(G212="Disponível","Sim","Não"))</f>
        <v/>
      </c>
      <c r="I212" s="5" t="str">
        <f aca="false">IF(OR(B212="",D212=""),"",IFERROR(IF(AND(D212&gt;=INDEX(Bolos!$D:$D,MATCH(B212,Bolos!$A:$A,0)),D212&lt;=INDEX(Bolos!$E:$E,MATCH(B212,Bolos!$A:$A,0))),"OK","Fora do limite"),""))</f>
        <v/>
      </c>
      <c r="K212" s="14"/>
      <c r="L212" s="13" t="str">
        <f aca="false">IF(K212="","",ROUND(K212*(1-'Como usar'!$B$26),2))</f>
        <v/>
      </c>
      <c r="M212" s="5" t="str">
        <f aca="false">IF(B212="","",IF(AND(G212="Inativo",IFERROR(INDEX(Bolos!$O:$O,MATCH(B212,Bolos!$A:$A,0)),"")="Sim",K212&lt;&gt;""),"Sim","Não"))</f>
        <v/>
      </c>
      <c r="N212" s="14"/>
    </row>
    <row r="213" customFormat="false" ht="15" hidden="false" customHeight="true" outlineLevel="0" collapsed="false">
      <c r="E213" s="5" t="str">
        <f aca="false">IF(B213="","",IFERROR(INDEX(Bolos!$B:$B,MATCH(B213,Bolos!$A:$A,0))&amp;IF(C213="",""," — "&amp;C213)&amp;" — "&amp;D213&amp;" andares",""))</f>
        <v/>
      </c>
      <c r="F213" s="14"/>
      <c r="G213" s="5" t="str">
        <f aca="false">IF(B213="","",IFERROR(INDEX(Bolos!$J:$J,MATCH(B213,Bolos!$A:$A,0)),"Código não encontrado"))</f>
        <v/>
      </c>
      <c r="H213" s="5" t="str">
        <f aca="false">IF(B213="","",IF(G213="Disponível","Sim","Não"))</f>
        <v/>
      </c>
      <c r="I213" s="5" t="str">
        <f aca="false">IF(OR(B213="",D213=""),"",IFERROR(IF(AND(D213&gt;=INDEX(Bolos!$D:$D,MATCH(B213,Bolos!$A:$A,0)),D213&lt;=INDEX(Bolos!$E:$E,MATCH(B213,Bolos!$A:$A,0))),"OK","Fora do limite"),""))</f>
        <v/>
      </c>
      <c r="K213" s="14"/>
      <c r="L213" s="13" t="str">
        <f aca="false">IF(K213="","",ROUND(K213*(1-'Como usar'!$B$26),2))</f>
        <v/>
      </c>
      <c r="M213" s="5" t="str">
        <f aca="false">IF(B213="","",IF(AND(G213="Inativo",IFERROR(INDEX(Bolos!$O:$O,MATCH(B213,Bolos!$A:$A,0)),"")="Sim",K213&lt;&gt;""),"Sim","Não"))</f>
        <v/>
      </c>
      <c r="N213" s="14"/>
    </row>
    <row r="214" customFormat="false" ht="15" hidden="false" customHeight="true" outlineLevel="0" collapsed="false">
      <c r="E214" s="5" t="str">
        <f aca="false">IF(B214="","",IFERROR(INDEX(Bolos!$B:$B,MATCH(B214,Bolos!$A:$A,0))&amp;IF(C214="",""," — "&amp;C214)&amp;" — "&amp;D214&amp;" andares",""))</f>
        <v/>
      </c>
      <c r="F214" s="14"/>
      <c r="G214" s="5" t="str">
        <f aca="false">IF(B214="","",IFERROR(INDEX(Bolos!$J:$J,MATCH(B214,Bolos!$A:$A,0)),"Código não encontrado"))</f>
        <v/>
      </c>
      <c r="H214" s="5" t="str">
        <f aca="false">IF(B214="","",IF(G214="Disponível","Sim","Não"))</f>
        <v/>
      </c>
      <c r="I214" s="5" t="str">
        <f aca="false">IF(OR(B214="",D214=""),"",IFERROR(IF(AND(D214&gt;=INDEX(Bolos!$D:$D,MATCH(B214,Bolos!$A:$A,0)),D214&lt;=INDEX(Bolos!$E:$E,MATCH(B214,Bolos!$A:$A,0))),"OK","Fora do limite"),""))</f>
        <v/>
      </c>
      <c r="K214" s="14"/>
      <c r="L214" s="13" t="str">
        <f aca="false">IF(K214="","",ROUND(K214*(1-'Como usar'!$B$26),2))</f>
        <v/>
      </c>
      <c r="M214" s="5" t="str">
        <f aca="false">IF(B214="","",IF(AND(G214="Inativo",IFERROR(INDEX(Bolos!$O:$O,MATCH(B214,Bolos!$A:$A,0)),"")="Sim",K214&lt;&gt;""),"Sim","Não"))</f>
        <v/>
      </c>
      <c r="N214" s="14"/>
    </row>
    <row r="215" customFormat="false" ht="15" hidden="false" customHeight="true" outlineLevel="0" collapsed="false">
      <c r="E215" s="5" t="str">
        <f aca="false">IF(B215="","",IFERROR(INDEX(Bolos!$B:$B,MATCH(B215,Bolos!$A:$A,0))&amp;IF(C215="",""," — "&amp;C215)&amp;" — "&amp;D215&amp;" andares",""))</f>
        <v/>
      </c>
      <c r="F215" s="14"/>
      <c r="G215" s="5" t="str">
        <f aca="false">IF(B215="","",IFERROR(INDEX(Bolos!$J:$J,MATCH(B215,Bolos!$A:$A,0)),"Código não encontrado"))</f>
        <v/>
      </c>
      <c r="H215" s="5" t="str">
        <f aca="false">IF(B215="","",IF(G215="Disponível","Sim","Não"))</f>
        <v/>
      </c>
      <c r="I215" s="5" t="str">
        <f aca="false">IF(OR(B215="",D215=""),"",IFERROR(IF(AND(D215&gt;=INDEX(Bolos!$D:$D,MATCH(B215,Bolos!$A:$A,0)),D215&lt;=INDEX(Bolos!$E:$E,MATCH(B215,Bolos!$A:$A,0))),"OK","Fora do limite"),""))</f>
        <v/>
      </c>
      <c r="K215" s="14"/>
      <c r="L215" s="13" t="str">
        <f aca="false">IF(K215="","",ROUND(K215*(1-'Como usar'!$B$26),2))</f>
        <v/>
      </c>
      <c r="M215" s="5" t="str">
        <f aca="false">IF(B215="","",IF(AND(G215="Inativo",IFERROR(INDEX(Bolos!$O:$O,MATCH(B215,Bolos!$A:$A,0)),"")="Sim",K215&lt;&gt;""),"Sim","Não"))</f>
        <v/>
      </c>
      <c r="N215" s="14"/>
    </row>
    <row r="216" customFormat="false" ht="15" hidden="false" customHeight="true" outlineLevel="0" collapsed="false">
      <c r="E216" s="5" t="str">
        <f aca="false">IF(B216="","",IFERROR(INDEX(Bolos!$B:$B,MATCH(B216,Bolos!$A:$A,0))&amp;IF(C216="",""," — "&amp;C216)&amp;" — "&amp;D216&amp;" andares",""))</f>
        <v/>
      </c>
      <c r="F216" s="14"/>
      <c r="G216" s="5" t="str">
        <f aca="false">IF(B216="","",IFERROR(INDEX(Bolos!$J:$J,MATCH(B216,Bolos!$A:$A,0)),"Código não encontrado"))</f>
        <v/>
      </c>
      <c r="H216" s="5" t="str">
        <f aca="false">IF(B216="","",IF(G216="Disponível","Sim","Não"))</f>
        <v/>
      </c>
      <c r="I216" s="5" t="str">
        <f aca="false">IF(OR(B216="",D216=""),"",IFERROR(IF(AND(D216&gt;=INDEX(Bolos!$D:$D,MATCH(B216,Bolos!$A:$A,0)),D216&lt;=INDEX(Bolos!$E:$E,MATCH(B216,Bolos!$A:$A,0))),"OK","Fora do limite"),""))</f>
        <v/>
      </c>
      <c r="K216" s="14"/>
      <c r="L216" s="13" t="str">
        <f aca="false">IF(K216="","",ROUND(K216*(1-'Como usar'!$B$26),2))</f>
        <v/>
      </c>
      <c r="M216" s="5" t="str">
        <f aca="false">IF(B216="","",IF(AND(G216="Inativo",IFERROR(INDEX(Bolos!$O:$O,MATCH(B216,Bolos!$A:$A,0)),"")="Sim",K216&lt;&gt;""),"Sim","Não"))</f>
        <v/>
      </c>
      <c r="N216" s="14"/>
    </row>
    <row r="217" customFormat="false" ht="15" hidden="false" customHeight="true" outlineLevel="0" collapsed="false">
      <c r="E217" s="5" t="str">
        <f aca="false">IF(B217="","",IFERROR(INDEX(Bolos!$B:$B,MATCH(B217,Bolos!$A:$A,0))&amp;IF(C217="",""," — "&amp;C217)&amp;" — "&amp;D217&amp;" andares",""))</f>
        <v/>
      </c>
      <c r="F217" s="14"/>
      <c r="G217" s="5" t="str">
        <f aca="false">IF(B217="","",IFERROR(INDEX(Bolos!$J:$J,MATCH(B217,Bolos!$A:$A,0)),"Código não encontrado"))</f>
        <v/>
      </c>
      <c r="H217" s="5" t="str">
        <f aca="false">IF(B217="","",IF(G217="Disponível","Sim","Não"))</f>
        <v/>
      </c>
      <c r="I217" s="5" t="str">
        <f aca="false">IF(OR(B217="",D217=""),"",IFERROR(IF(AND(D217&gt;=INDEX(Bolos!$D:$D,MATCH(B217,Bolos!$A:$A,0)),D217&lt;=INDEX(Bolos!$E:$E,MATCH(B217,Bolos!$A:$A,0))),"OK","Fora do limite"),""))</f>
        <v/>
      </c>
      <c r="K217" s="14"/>
      <c r="L217" s="13" t="str">
        <f aca="false">IF(K217="","",ROUND(K217*(1-'Como usar'!$B$26),2))</f>
        <v/>
      </c>
      <c r="M217" s="5" t="str">
        <f aca="false">IF(B217="","",IF(AND(G217="Inativo",IFERROR(INDEX(Bolos!$O:$O,MATCH(B217,Bolos!$A:$A,0)),"")="Sim",K217&lt;&gt;""),"Sim","Não"))</f>
        <v/>
      </c>
      <c r="N217" s="14"/>
    </row>
    <row r="218" customFormat="false" ht="15" hidden="false" customHeight="true" outlineLevel="0" collapsed="false">
      <c r="E218" s="5" t="str">
        <f aca="false">IF(B218="","",IFERROR(INDEX(Bolos!$B:$B,MATCH(B218,Bolos!$A:$A,0))&amp;IF(C218="",""," — "&amp;C218)&amp;" — "&amp;D218&amp;" andares",""))</f>
        <v/>
      </c>
      <c r="F218" s="14"/>
      <c r="G218" s="5" t="str">
        <f aca="false">IF(B218="","",IFERROR(INDEX(Bolos!$J:$J,MATCH(B218,Bolos!$A:$A,0)),"Código não encontrado"))</f>
        <v/>
      </c>
      <c r="H218" s="5" t="str">
        <f aca="false">IF(B218="","",IF(G218="Disponível","Sim","Não"))</f>
        <v/>
      </c>
      <c r="I218" s="5" t="str">
        <f aca="false">IF(OR(B218="",D218=""),"",IFERROR(IF(AND(D218&gt;=INDEX(Bolos!$D:$D,MATCH(B218,Bolos!$A:$A,0)),D218&lt;=INDEX(Bolos!$E:$E,MATCH(B218,Bolos!$A:$A,0))),"OK","Fora do limite"),""))</f>
        <v/>
      </c>
      <c r="K218" s="14"/>
      <c r="L218" s="13" t="str">
        <f aca="false">IF(K218="","",ROUND(K218*(1-'Como usar'!$B$26),2))</f>
        <v/>
      </c>
      <c r="M218" s="5" t="str">
        <f aca="false">IF(B218="","",IF(AND(G218="Inativo",IFERROR(INDEX(Bolos!$O:$O,MATCH(B218,Bolos!$A:$A,0)),"")="Sim",K218&lt;&gt;""),"Sim","Não"))</f>
        <v/>
      </c>
      <c r="N218" s="14"/>
    </row>
    <row r="219" customFormat="false" ht="15" hidden="false" customHeight="true" outlineLevel="0" collapsed="false">
      <c r="E219" s="5" t="str">
        <f aca="false">IF(B219="","",IFERROR(INDEX(Bolos!$B:$B,MATCH(B219,Bolos!$A:$A,0))&amp;IF(C219="",""," — "&amp;C219)&amp;" — "&amp;D219&amp;" andares",""))</f>
        <v/>
      </c>
      <c r="F219" s="14"/>
      <c r="G219" s="5" t="str">
        <f aca="false">IF(B219="","",IFERROR(INDEX(Bolos!$J:$J,MATCH(B219,Bolos!$A:$A,0)),"Código não encontrado"))</f>
        <v/>
      </c>
      <c r="H219" s="5" t="str">
        <f aca="false">IF(B219="","",IF(G219="Disponível","Sim","Não"))</f>
        <v/>
      </c>
      <c r="I219" s="5" t="str">
        <f aca="false">IF(OR(B219="",D219=""),"",IFERROR(IF(AND(D219&gt;=INDEX(Bolos!$D:$D,MATCH(B219,Bolos!$A:$A,0)),D219&lt;=INDEX(Bolos!$E:$E,MATCH(B219,Bolos!$A:$A,0))),"OK","Fora do limite"),""))</f>
        <v/>
      </c>
      <c r="K219" s="14"/>
      <c r="L219" s="13" t="str">
        <f aca="false">IF(K219="","",ROUND(K219*(1-'Como usar'!$B$26),2))</f>
        <v/>
      </c>
      <c r="M219" s="5" t="str">
        <f aca="false">IF(B219="","",IF(AND(G219="Inativo",IFERROR(INDEX(Bolos!$O:$O,MATCH(B219,Bolos!$A:$A,0)),"")="Sim",K219&lt;&gt;""),"Sim","Não"))</f>
        <v/>
      </c>
      <c r="N219" s="14"/>
    </row>
    <row r="220" customFormat="false" ht="15" hidden="false" customHeight="true" outlineLevel="0" collapsed="false">
      <c r="E220" s="5" t="str">
        <f aca="false">IF(B220="","",IFERROR(INDEX(Bolos!$B:$B,MATCH(B220,Bolos!$A:$A,0))&amp;IF(C220="",""," — "&amp;C220)&amp;" — "&amp;D220&amp;" andares",""))</f>
        <v/>
      </c>
      <c r="F220" s="14"/>
      <c r="G220" s="5" t="str">
        <f aca="false">IF(B220="","",IFERROR(INDEX(Bolos!$J:$J,MATCH(B220,Bolos!$A:$A,0)),"Código não encontrado"))</f>
        <v/>
      </c>
      <c r="H220" s="5" t="str">
        <f aca="false">IF(B220="","",IF(G220="Disponível","Sim","Não"))</f>
        <v/>
      </c>
      <c r="I220" s="5" t="str">
        <f aca="false">IF(OR(B220="",D220=""),"",IFERROR(IF(AND(D220&gt;=INDEX(Bolos!$D:$D,MATCH(B220,Bolos!$A:$A,0)),D220&lt;=INDEX(Bolos!$E:$E,MATCH(B220,Bolos!$A:$A,0))),"OK","Fora do limite"),""))</f>
        <v/>
      </c>
      <c r="K220" s="14"/>
      <c r="L220" s="13" t="str">
        <f aca="false">IF(K220="","",ROUND(K220*(1-'Como usar'!$B$26),2))</f>
        <v/>
      </c>
      <c r="M220" s="5" t="str">
        <f aca="false">IF(B220="","",IF(AND(G220="Inativo",IFERROR(INDEX(Bolos!$O:$O,MATCH(B220,Bolos!$A:$A,0)),"")="Sim",K220&lt;&gt;""),"Sim","Não"))</f>
        <v/>
      </c>
      <c r="N220" s="14"/>
    </row>
    <row r="221" customFormat="false" ht="15" hidden="false" customHeight="true" outlineLevel="0" collapsed="false">
      <c r="E221" s="5" t="str">
        <f aca="false">IF(B221="","",IFERROR(INDEX(Bolos!$B:$B,MATCH(B221,Bolos!$A:$A,0))&amp;IF(C221="",""," — "&amp;C221)&amp;" — "&amp;D221&amp;" andares",""))</f>
        <v/>
      </c>
      <c r="F221" s="14"/>
      <c r="G221" s="5" t="str">
        <f aca="false">IF(B221="","",IFERROR(INDEX(Bolos!$J:$J,MATCH(B221,Bolos!$A:$A,0)),"Código não encontrado"))</f>
        <v/>
      </c>
      <c r="H221" s="5" t="str">
        <f aca="false">IF(B221="","",IF(G221="Disponível","Sim","Não"))</f>
        <v/>
      </c>
      <c r="I221" s="5" t="str">
        <f aca="false">IF(OR(B221="",D221=""),"",IFERROR(IF(AND(D221&gt;=INDEX(Bolos!$D:$D,MATCH(B221,Bolos!$A:$A,0)),D221&lt;=INDEX(Bolos!$E:$E,MATCH(B221,Bolos!$A:$A,0))),"OK","Fora do limite"),""))</f>
        <v/>
      </c>
      <c r="K221" s="14"/>
      <c r="L221" s="13" t="str">
        <f aca="false">IF(K221="","",ROUND(K221*(1-'Como usar'!$B$26),2))</f>
        <v/>
      </c>
      <c r="M221" s="5" t="str">
        <f aca="false">IF(B221="","",IF(AND(G221="Inativo",IFERROR(INDEX(Bolos!$O:$O,MATCH(B221,Bolos!$A:$A,0)),"")="Sim",K221&lt;&gt;""),"Sim","Não"))</f>
        <v/>
      </c>
      <c r="N221" s="14"/>
    </row>
    <row r="222" customFormat="false" ht="15" hidden="false" customHeight="true" outlineLevel="0" collapsed="false">
      <c r="E222" s="5" t="str">
        <f aca="false">IF(B222="","",IFERROR(INDEX(Bolos!$B:$B,MATCH(B222,Bolos!$A:$A,0))&amp;IF(C222="",""," — "&amp;C222)&amp;" — "&amp;D222&amp;" andares",""))</f>
        <v/>
      </c>
      <c r="F222" s="14"/>
      <c r="G222" s="5" t="str">
        <f aca="false">IF(B222="","",IFERROR(INDEX(Bolos!$J:$J,MATCH(B222,Bolos!$A:$A,0)),"Código não encontrado"))</f>
        <v/>
      </c>
      <c r="H222" s="5" t="str">
        <f aca="false">IF(B222="","",IF(G222="Disponível","Sim","Não"))</f>
        <v/>
      </c>
      <c r="I222" s="5" t="str">
        <f aca="false">IF(OR(B222="",D222=""),"",IFERROR(IF(AND(D222&gt;=INDEX(Bolos!$D:$D,MATCH(B222,Bolos!$A:$A,0)),D222&lt;=INDEX(Bolos!$E:$E,MATCH(B222,Bolos!$A:$A,0))),"OK","Fora do limite"),""))</f>
        <v/>
      </c>
      <c r="K222" s="14"/>
      <c r="L222" s="13" t="str">
        <f aca="false">IF(K222="","",ROUND(K222*(1-'Como usar'!$B$26),2))</f>
        <v/>
      </c>
      <c r="M222" s="5" t="str">
        <f aca="false">IF(B222="","",IF(AND(G222="Inativo",IFERROR(INDEX(Bolos!$O:$O,MATCH(B222,Bolos!$A:$A,0)),"")="Sim",K222&lt;&gt;""),"Sim","Não"))</f>
        <v/>
      </c>
      <c r="N222" s="14"/>
    </row>
    <row r="223" customFormat="false" ht="15" hidden="false" customHeight="true" outlineLevel="0" collapsed="false">
      <c r="E223" s="5" t="str">
        <f aca="false">IF(B223="","",IFERROR(INDEX(Bolos!$B:$B,MATCH(B223,Bolos!$A:$A,0))&amp;IF(C223="",""," — "&amp;C223)&amp;" — "&amp;D223&amp;" andares",""))</f>
        <v/>
      </c>
      <c r="F223" s="14"/>
      <c r="G223" s="5" t="str">
        <f aca="false">IF(B223="","",IFERROR(INDEX(Bolos!$J:$J,MATCH(B223,Bolos!$A:$A,0)),"Código não encontrado"))</f>
        <v/>
      </c>
      <c r="H223" s="5" t="str">
        <f aca="false">IF(B223="","",IF(G223="Disponível","Sim","Não"))</f>
        <v/>
      </c>
      <c r="I223" s="5" t="str">
        <f aca="false">IF(OR(B223="",D223=""),"",IFERROR(IF(AND(D223&gt;=INDEX(Bolos!$D:$D,MATCH(B223,Bolos!$A:$A,0)),D223&lt;=INDEX(Bolos!$E:$E,MATCH(B223,Bolos!$A:$A,0))),"OK","Fora do limite"),""))</f>
        <v/>
      </c>
      <c r="K223" s="14"/>
      <c r="L223" s="13" t="str">
        <f aca="false">IF(K223="","",ROUND(K223*(1-'Como usar'!$B$26),2))</f>
        <v/>
      </c>
      <c r="M223" s="5" t="str">
        <f aca="false">IF(B223="","",IF(AND(G223="Inativo",IFERROR(INDEX(Bolos!$O:$O,MATCH(B223,Bolos!$A:$A,0)),"")="Sim",K223&lt;&gt;""),"Sim","Não"))</f>
        <v/>
      </c>
      <c r="N223" s="14"/>
    </row>
    <row r="224" customFormat="false" ht="15" hidden="false" customHeight="true" outlineLevel="0" collapsed="false">
      <c r="E224" s="5" t="str">
        <f aca="false">IF(B224="","",IFERROR(INDEX(Bolos!$B:$B,MATCH(B224,Bolos!$A:$A,0))&amp;IF(C224="",""," — "&amp;C224)&amp;" — "&amp;D224&amp;" andares",""))</f>
        <v/>
      </c>
      <c r="F224" s="14"/>
      <c r="G224" s="5" t="str">
        <f aca="false">IF(B224="","",IFERROR(INDEX(Bolos!$J:$J,MATCH(B224,Bolos!$A:$A,0)),"Código não encontrado"))</f>
        <v/>
      </c>
      <c r="H224" s="5" t="str">
        <f aca="false">IF(B224="","",IF(G224="Disponível","Sim","Não"))</f>
        <v/>
      </c>
      <c r="I224" s="5" t="str">
        <f aca="false">IF(OR(B224="",D224=""),"",IFERROR(IF(AND(D224&gt;=INDEX(Bolos!$D:$D,MATCH(B224,Bolos!$A:$A,0)),D224&lt;=INDEX(Bolos!$E:$E,MATCH(B224,Bolos!$A:$A,0))),"OK","Fora do limite"),""))</f>
        <v/>
      </c>
      <c r="K224" s="14"/>
      <c r="L224" s="13" t="str">
        <f aca="false">IF(K224="","",ROUND(K224*(1-'Como usar'!$B$26),2))</f>
        <v/>
      </c>
      <c r="M224" s="5" t="str">
        <f aca="false">IF(B224="","",IF(AND(G224="Inativo",IFERROR(INDEX(Bolos!$O:$O,MATCH(B224,Bolos!$A:$A,0)),"")="Sim",K224&lt;&gt;""),"Sim","Não"))</f>
        <v/>
      </c>
      <c r="N224" s="14"/>
    </row>
    <row r="225" customFormat="false" ht="15" hidden="false" customHeight="true" outlineLevel="0" collapsed="false">
      <c r="E225" s="5" t="str">
        <f aca="false">IF(B225="","",IFERROR(INDEX(Bolos!$B:$B,MATCH(B225,Bolos!$A:$A,0))&amp;IF(C225="",""," — "&amp;C225)&amp;" — "&amp;D225&amp;" andares",""))</f>
        <v/>
      </c>
      <c r="F225" s="14"/>
      <c r="G225" s="5" t="str">
        <f aca="false">IF(B225="","",IFERROR(INDEX(Bolos!$J:$J,MATCH(B225,Bolos!$A:$A,0)),"Código não encontrado"))</f>
        <v/>
      </c>
      <c r="H225" s="5" t="str">
        <f aca="false">IF(B225="","",IF(G225="Disponível","Sim","Não"))</f>
        <v/>
      </c>
      <c r="I225" s="5" t="str">
        <f aca="false">IF(OR(B225="",D225=""),"",IFERROR(IF(AND(D225&gt;=INDEX(Bolos!$D:$D,MATCH(B225,Bolos!$A:$A,0)),D225&lt;=INDEX(Bolos!$E:$E,MATCH(B225,Bolos!$A:$A,0))),"OK","Fora do limite"),""))</f>
        <v/>
      </c>
      <c r="K225" s="14"/>
      <c r="L225" s="13" t="str">
        <f aca="false">IF(K225="","",ROUND(K225*(1-'Como usar'!$B$26),2))</f>
        <v/>
      </c>
      <c r="M225" s="5" t="str">
        <f aca="false">IF(B225="","",IF(AND(G225="Inativo",IFERROR(INDEX(Bolos!$O:$O,MATCH(B225,Bolos!$A:$A,0)),"")="Sim",K225&lt;&gt;""),"Sim","Não"))</f>
        <v/>
      </c>
      <c r="N225" s="14"/>
    </row>
    <row r="226" customFormat="false" ht="15" hidden="false" customHeight="true" outlineLevel="0" collapsed="false">
      <c r="E226" s="5" t="str">
        <f aca="false">IF(B226="","",IFERROR(INDEX(Bolos!$B:$B,MATCH(B226,Bolos!$A:$A,0))&amp;IF(C226="",""," — "&amp;C226)&amp;" — "&amp;D226&amp;" andares",""))</f>
        <v/>
      </c>
      <c r="F226" s="14"/>
      <c r="G226" s="5" t="str">
        <f aca="false">IF(B226="","",IFERROR(INDEX(Bolos!$J:$J,MATCH(B226,Bolos!$A:$A,0)),"Código não encontrado"))</f>
        <v/>
      </c>
      <c r="H226" s="5" t="str">
        <f aca="false">IF(B226="","",IF(G226="Disponível","Sim","Não"))</f>
        <v/>
      </c>
      <c r="I226" s="5" t="str">
        <f aca="false">IF(OR(B226="",D226=""),"",IFERROR(IF(AND(D226&gt;=INDEX(Bolos!$D:$D,MATCH(B226,Bolos!$A:$A,0)),D226&lt;=INDEX(Bolos!$E:$E,MATCH(B226,Bolos!$A:$A,0))),"OK","Fora do limite"),""))</f>
        <v/>
      </c>
      <c r="K226" s="14"/>
      <c r="L226" s="13" t="str">
        <f aca="false">IF(K226="","",ROUND(K226*(1-'Como usar'!$B$26),2))</f>
        <v/>
      </c>
      <c r="M226" s="5" t="str">
        <f aca="false">IF(B226="","",IF(AND(G226="Inativo",IFERROR(INDEX(Bolos!$O:$O,MATCH(B226,Bolos!$A:$A,0)),"")="Sim",K226&lt;&gt;""),"Sim","Não"))</f>
        <v/>
      </c>
      <c r="N226" s="14"/>
    </row>
    <row r="227" customFormat="false" ht="15" hidden="false" customHeight="true" outlineLevel="0" collapsed="false">
      <c r="E227" s="5" t="str">
        <f aca="false">IF(B227="","",IFERROR(INDEX(Bolos!$B:$B,MATCH(B227,Bolos!$A:$A,0))&amp;IF(C227="",""," — "&amp;C227)&amp;" — "&amp;D227&amp;" andares",""))</f>
        <v/>
      </c>
      <c r="F227" s="14"/>
      <c r="G227" s="5" t="str">
        <f aca="false">IF(B227="","",IFERROR(INDEX(Bolos!$J:$J,MATCH(B227,Bolos!$A:$A,0)),"Código não encontrado"))</f>
        <v/>
      </c>
      <c r="H227" s="5" t="str">
        <f aca="false">IF(B227="","",IF(G227="Disponível","Sim","Não"))</f>
        <v/>
      </c>
      <c r="I227" s="5" t="str">
        <f aca="false">IF(OR(B227="",D227=""),"",IFERROR(IF(AND(D227&gt;=INDEX(Bolos!$D:$D,MATCH(B227,Bolos!$A:$A,0)),D227&lt;=INDEX(Bolos!$E:$E,MATCH(B227,Bolos!$A:$A,0))),"OK","Fora do limite"),""))</f>
        <v/>
      </c>
      <c r="K227" s="14"/>
      <c r="L227" s="13" t="str">
        <f aca="false">IF(K227="","",ROUND(K227*(1-'Como usar'!$B$26),2))</f>
        <v/>
      </c>
      <c r="M227" s="5" t="str">
        <f aca="false">IF(B227="","",IF(AND(G227="Inativo",IFERROR(INDEX(Bolos!$O:$O,MATCH(B227,Bolos!$A:$A,0)),"")="Sim",K227&lt;&gt;""),"Sim","Não"))</f>
        <v/>
      </c>
      <c r="N227" s="14"/>
    </row>
    <row r="228" customFormat="false" ht="15" hidden="false" customHeight="true" outlineLevel="0" collapsed="false">
      <c r="E228" s="5" t="str">
        <f aca="false">IF(B228="","",IFERROR(INDEX(Bolos!$B:$B,MATCH(B228,Bolos!$A:$A,0))&amp;IF(C228="",""," — "&amp;C228)&amp;" — "&amp;D228&amp;" andares",""))</f>
        <v/>
      </c>
      <c r="F228" s="14"/>
      <c r="G228" s="5" t="str">
        <f aca="false">IF(B228="","",IFERROR(INDEX(Bolos!$J:$J,MATCH(B228,Bolos!$A:$A,0)),"Código não encontrado"))</f>
        <v/>
      </c>
      <c r="H228" s="5" t="str">
        <f aca="false">IF(B228="","",IF(G228="Disponível","Sim","Não"))</f>
        <v/>
      </c>
      <c r="I228" s="5" t="str">
        <f aca="false">IF(OR(B228="",D228=""),"",IFERROR(IF(AND(D228&gt;=INDEX(Bolos!$D:$D,MATCH(B228,Bolos!$A:$A,0)),D228&lt;=INDEX(Bolos!$E:$E,MATCH(B228,Bolos!$A:$A,0))),"OK","Fora do limite"),""))</f>
        <v/>
      </c>
      <c r="K228" s="14"/>
      <c r="L228" s="13" t="str">
        <f aca="false">IF(K228="","",ROUND(K228*(1-'Como usar'!$B$26),2))</f>
        <v/>
      </c>
      <c r="M228" s="5" t="str">
        <f aca="false">IF(B228="","",IF(AND(G228="Inativo",IFERROR(INDEX(Bolos!$O:$O,MATCH(B228,Bolos!$A:$A,0)),"")="Sim",K228&lt;&gt;""),"Sim","Não"))</f>
        <v/>
      </c>
      <c r="N228" s="14"/>
    </row>
    <row r="229" customFormat="false" ht="15" hidden="false" customHeight="true" outlineLevel="0" collapsed="false">
      <c r="E229" s="5" t="str">
        <f aca="false">IF(B229="","",IFERROR(INDEX(Bolos!$B:$B,MATCH(B229,Bolos!$A:$A,0))&amp;IF(C229="",""," — "&amp;C229)&amp;" — "&amp;D229&amp;" andares",""))</f>
        <v/>
      </c>
      <c r="F229" s="14"/>
      <c r="G229" s="5" t="str">
        <f aca="false">IF(B229="","",IFERROR(INDEX(Bolos!$J:$J,MATCH(B229,Bolos!$A:$A,0)),"Código não encontrado"))</f>
        <v/>
      </c>
      <c r="H229" s="5" t="str">
        <f aca="false">IF(B229="","",IF(G229="Disponível","Sim","Não"))</f>
        <v/>
      </c>
      <c r="I229" s="5" t="str">
        <f aca="false">IF(OR(B229="",D229=""),"",IFERROR(IF(AND(D229&gt;=INDEX(Bolos!$D:$D,MATCH(B229,Bolos!$A:$A,0)),D229&lt;=INDEX(Bolos!$E:$E,MATCH(B229,Bolos!$A:$A,0))),"OK","Fora do limite"),""))</f>
        <v/>
      </c>
      <c r="K229" s="14"/>
      <c r="L229" s="13" t="str">
        <f aca="false">IF(K229="","",ROUND(K229*(1-'Como usar'!$B$26),2))</f>
        <v/>
      </c>
      <c r="M229" s="5" t="str">
        <f aca="false">IF(B229="","",IF(AND(G229="Inativo",IFERROR(INDEX(Bolos!$O:$O,MATCH(B229,Bolos!$A:$A,0)),"")="Sim",K229&lt;&gt;""),"Sim","Não"))</f>
        <v/>
      </c>
      <c r="N229" s="14"/>
    </row>
    <row r="230" customFormat="false" ht="15" hidden="false" customHeight="true" outlineLevel="0" collapsed="false">
      <c r="E230" s="5" t="str">
        <f aca="false">IF(B230="","",IFERROR(INDEX(Bolos!$B:$B,MATCH(B230,Bolos!$A:$A,0))&amp;IF(C230="",""," — "&amp;C230)&amp;" — "&amp;D230&amp;" andares",""))</f>
        <v/>
      </c>
      <c r="F230" s="14"/>
      <c r="G230" s="5" t="str">
        <f aca="false">IF(B230="","",IFERROR(INDEX(Bolos!$J:$J,MATCH(B230,Bolos!$A:$A,0)),"Código não encontrado"))</f>
        <v/>
      </c>
      <c r="H230" s="5" t="str">
        <f aca="false">IF(B230="","",IF(G230="Disponível","Sim","Não"))</f>
        <v/>
      </c>
      <c r="I230" s="5" t="str">
        <f aca="false">IF(OR(B230="",D230=""),"",IFERROR(IF(AND(D230&gt;=INDEX(Bolos!$D:$D,MATCH(B230,Bolos!$A:$A,0)),D230&lt;=INDEX(Bolos!$E:$E,MATCH(B230,Bolos!$A:$A,0))),"OK","Fora do limite"),""))</f>
        <v/>
      </c>
      <c r="K230" s="14"/>
      <c r="L230" s="13" t="str">
        <f aca="false">IF(K230="","",ROUND(K230*(1-'Como usar'!$B$26),2))</f>
        <v/>
      </c>
      <c r="M230" s="5" t="str">
        <f aca="false">IF(B230="","",IF(AND(G230="Inativo",IFERROR(INDEX(Bolos!$O:$O,MATCH(B230,Bolos!$A:$A,0)),"")="Sim",K230&lt;&gt;""),"Sim","Não"))</f>
        <v/>
      </c>
      <c r="N230" s="14"/>
    </row>
    <row r="231" customFormat="false" ht="15" hidden="false" customHeight="true" outlineLevel="0" collapsed="false">
      <c r="E231" s="5" t="str">
        <f aca="false">IF(B231="","",IFERROR(INDEX(Bolos!$B:$B,MATCH(B231,Bolos!$A:$A,0))&amp;IF(C231="",""," — "&amp;C231)&amp;" — "&amp;D231&amp;" andares",""))</f>
        <v/>
      </c>
      <c r="F231" s="14"/>
      <c r="G231" s="5" t="str">
        <f aca="false">IF(B231="","",IFERROR(INDEX(Bolos!$J:$J,MATCH(B231,Bolos!$A:$A,0)),"Código não encontrado"))</f>
        <v/>
      </c>
      <c r="H231" s="5" t="str">
        <f aca="false">IF(B231="","",IF(G231="Disponível","Sim","Não"))</f>
        <v/>
      </c>
      <c r="I231" s="5" t="str">
        <f aca="false">IF(OR(B231="",D231=""),"",IFERROR(IF(AND(D231&gt;=INDEX(Bolos!$D:$D,MATCH(B231,Bolos!$A:$A,0)),D231&lt;=INDEX(Bolos!$E:$E,MATCH(B231,Bolos!$A:$A,0))),"OK","Fora do limite"),""))</f>
        <v/>
      </c>
      <c r="K231" s="14"/>
      <c r="L231" s="13" t="str">
        <f aca="false">IF(K231="","",ROUND(K231*(1-'Como usar'!$B$26),2))</f>
        <v/>
      </c>
      <c r="M231" s="5" t="str">
        <f aca="false">IF(B231="","",IF(AND(G231="Inativo",IFERROR(INDEX(Bolos!$O:$O,MATCH(B231,Bolos!$A:$A,0)),"")="Sim",K231&lt;&gt;""),"Sim","Não"))</f>
        <v/>
      </c>
      <c r="N231" s="14"/>
    </row>
    <row r="232" customFormat="false" ht="15" hidden="false" customHeight="true" outlineLevel="0" collapsed="false">
      <c r="E232" s="5" t="str">
        <f aca="false">IF(B232="","",IFERROR(INDEX(Bolos!$B:$B,MATCH(B232,Bolos!$A:$A,0))&amp;IF(C232="",""," — "&amp;C232)&amp;" — "&amp;D232&amp;" andares",""))</f>
        <v/>
      </c>
      <c r="F232" s="14"/>
      <c r="G232" s="5" t="str">
        <f aca="false">IF(B232="","",IFERROR(INDEX(Bolos!$J:$J,MATCH(B232,Bolos!$A:$A,0)),"Código não encontrado"))</f>
        <v/>
      </c>
      <c r="H232" s="5" t="str">
        <f aca="false">IF(B232="","",IF(G232="Disponível","Sim","Não"))</f>
        <v/>
      </c>
      <c r="I232" s="5" t="str">
        <f aca="false">IF(OR(B232="",D232=""),"",IFERROR(IF(AND(D232&gt;=INDEX(Bolos!$D:$D,MATCH(B232,Bolos!$A:$A,0)),D232&lt;=INDEX(Bolos!$E:$E,MATCH(B232,Bolos!$A:$A,0))),"OK","Fora do limite"),""))</f>
        <v/>
      </c>
      <c r="K232" s="14"/>
      <c r="L232" s="13" t="str">
        <f aca="false">IF(K232="","",ROUND(K232*(1-'Como usar'!$B$26),2))</f>
        <v/>
      </c>
      <c r="M232" s="5" t="str">
        <f aca="false">IF(B232="","",IF(AND(G232="Inativo",IFERROR(INDEX(Bolos!$O:$O,MATCH(B232,Bolos!$A:$A,0)),"")="Sim",K232&lt;&gt;""),"Sim","Não"))</f>
        <v/>
      </c>
      <c r="N232" s="14"/>
    </row>
    <row r="233" customFormat="false" ht="15" hidden="false" customHeight="true" outlineLevel="0" collapsed="false">
      <c r="E233" s="5" t="str">
        <f aca="false">IF(B233="","",IFERROR(INDEX(Bolos!$B:$B,MATCH(B233,Bolos!$A:$A,0))&amp;IF(C233="",""," — "&amp;C233)&amp;" — "&amp;D233&amp;" andares",""))</f>
        <v/>
      </c>
      <c r="F233" s="14"/>
      <c r="G233" s="5" t="str">
        <f aca="false">IF(B233="","",IFERROR(INDEX(Bolos!$J:$J,MATCH(B233,Bolos!$A:$A,0)),"Código não encontrado"))</f>
        <v/>
      </c>
      <c r="H233" s="5" t="str">
        <f aca="false">IF(B233="","",IF(G233="Disponível","Sim","Não"))</f>
        <v/>
      </c>
      <c r="I233" s="5" t="str">
        <f aca="false">IF(OR(B233="",D233=""),"",IFERROR(IF(AND(D233&gt;=INDEX(Bolos!$D:$D,MATCH(B233,Bolos!$A:$A,0)),D233&lt;=INDEX(Bolos!$E:$E,MATCH(B233,Bolos!$A:$A,0))),"OK","Fora do limite"),""))</f>
        <v/>
      </c>
      <c r="K233" s="14"/>
      <c r="L233" s="13" t="str">
        <f aca="false">IF(K233="","",ROUND(K233*(1-'Como usar'!$B$26),2))</f>
        <v/>
      </c>
      <c r="M233" s="5" t="str">
        <f aca="false">IF(B233="","",IF(AND(G233="Inativo",IFERROR(INDEX(Bolos!$O:$O,MATCH(B233,Bolos!$A:$A,0)),"")="Sim",K233&lt;&gt;""),"Sim","Não"))</f>
        <v/>
      </c>
      <c r="N233" s="14"/>
    </row>
    <row r="234" customFormat="false" ht="15" hidden="false" customHeight="true" outlineLevel="0" collapsed="false">
      <c r="E234" s="5" t="str">
        <f aca="false">IF(B234="","",IFERROR(INDEX(Bolos!$B:$B,MATCH(B234,Bolos!$A:$A,0))&amp;IF(C234="",""," — "&amp;C234)&amp;" — "&amp;D234&amp;" andares",""))</f>
        <v/>
      </c>
      <c r="F234" s="14"/>
      <c r="G234" s="5" t="str">
        <f aca="false">IF(B234="","",IFERROR(INDEX(Bolos!$J:$J,MATCH(B234,Bolos!$A:$A,0)),"Código não encontrado"))</f>
        <v/>
      </c>
      <c r="H234" s="5" t="str">
        <f aca="false">IF(B234="","",IF(G234="Disponível","Sim","Não"))</f>
        <v/>
      </c>
      <c r="I234" s="5" t="str">
        <f aca="false">IF(OR(B234="",D234=""),"",IFERROR(IF(AND(D234&gt;=INDEX(Bolos!$D:$D,MATCH(B234,Bolos!$A:$A,0)),D234&lt;=INDEX(Bolos!$E:$E,MATCH(B234,Bolos!$A:$A,0))),"OK","Fora do limite"),""))</f>
        <v/>
      </c>
      <c r="K234" s="14"/>
      <c r="L234" s="13" t="str">
        <f aca="false">IF(K234="","",ROUND(K234*(1-'Como usar'!$B$26),2))</f>
        <v/>
      </c>
      <c r="M234" s="5" t="str">
        <f aca="false">IF(B234="","",IF(AND(G234="Inativo",IFERROR(INDEX(Bolos!$O:$O,MATCH(B234,Bolos!$A:$A,0)),"")="Sim",K234&lt;&gt;""),"Sim","Não"))</f>
        <v/>
      </c>
      <c r="N234" s="14"/>
    </row>
    <row r="235" customFormat="false" ht="15" hidden="false" customHeight="true" outlineLevel="0" collapsed="false">
      <c r="E235" s="5" t="str">
        <f aca="false">IF(B235="","",IFERROR(INDEX(Bolos!$B:$B,MATCH(B235,Bolos!$A:$A,0))&amp;IF(C235="",""," — "&amp;C235)&amp;" — "&amp;D235&amp;" andares",""))</f>
        <v/>
      </c>
      <c r="F235" s="14"/>
      <c r="G235" s="5" t="str">
        <f aca="false">IF(B235="","",IFERROR(INDEX(Bolos!$J:$J,MATCH(B235,Bolos!$A:$A,0)),"Código não encontrado"))</f>
        <v/>
      </c>
      <c r="H235" s="5" t="str">
        <f aca="false">IF(B235="","",IF(G235="Disponível","Sim","Não"))</f>
        <v/>
      </c>
      <c r="I235" s="5" t="str">
        <f aca="false">IF(OR(B235="",D235=""),"",IFERROR(IF(AND(D235&gt;=INDEX(Bolos!$D:$D,MATCH(B235,Bolos!$A:$A,0)),D235&lt;=INDEX(Bolos!$E:$E,MATCH(B235,Bolos!$A:$A,0))),"OK","Fora do limite"),""))</f>
        <v/>
      </c>
      <c r="K235" s="14"/>
      <c r="L235" s="13" t="str">
        <f aca="false">IF(K235="","",ROUND(K235*(1-'Como usar'!$B$26),2))</f>
        <v/>
      </c>
      <c r="M235" s="5" t="str">
        <f aca="false">IF(B235="","",IF(AND(G235="Inativo",IFERROR(INDEX(Bolos!$O:$O,MATCH(B235,Bolos!$A:$A,0)),"")="Sim",K235&lt;&gt;""),"Sim","Não"))</f>
        <v/>
      </c>
      <c r="N235" s="14"/>
    </row>
    <row r="236" customFormat="false" ht="15" hidden="false" customHeight="true" outlineLevel="0" collapsed="false">
      <c r="E236" s="5" t="str">
        <f aca="false">IF(B236="","",IFERROR(INDEX(Bolos!$B:$B,MATCH(B236,Bolos!$A:$A,0))&amp;IF(C236="",""," — "&amp;C236)&amp;" — "&amp;D236&amp;" andares",""))</f>
        <v/>
      </c>
      <c r="F236" s="14"/>
      <c r="G236" s="5" t="str">
        <f aca="false">IF(B236="","",IFERROR(INDEX(Bolos!$J:$J,MATCH(B236,Bolos!$A:$A,0)),"Código não encontrado"))</f>
        <v/>
      </c>
      <c r="H236" s="5" t="str">
        <f aca="false">IF(B236="","",IF(G236="Disponível","Sim","Não"))</f>
        <v/>
      </c>
      <c r="I236" s="5" t="str">
        <f aca="false">IF(OR(B236="",D236=""),"",IFERROR(IF(AND(D236&gt;=INDEX(Bolos!$D:$D,MATCH(B236,Bolos!$A:$A,0)),D236&lt;=INDEX(Bolos!$E:$E,MATCH(B236,Bolos!$A:$A,0))),"OK","Fora do limite"),""))</f>
        <v/>
      </c>
      <c r="K236" s="14"/>
      <c r="L236" s="13" t="str">
        <f aca="false">IF(K236="","",ROUND(K236*(1-'Como usar'!$B$26),2))</f>
        <v/>
      </c>
      <c r="M236" s="5" t="str">
        <f aca="false">IF(B236="","",IF(AND(G236="Inativo",IFERROR(INDEX(Bolos!$O:$O,MATCH(B236,Bolos!$A:$A,0)),"")="Sim",K236&lt;&gt;""),"Sim","Não"))</f>
        <v/>
      </c>
      <c r="N236" s="14"/>
    </row>
    <row r="237" customFormat="false" ht="15" hidden="false" customHeight="true" outlineLevel="0" collapsed="false">
      <c r="E237" s="5" t="str">
        <f aca="false">IF(B237="","",IFERROR(INDEX(Bolos!$B:$B,MATCH(B237,Bolos!$A:$A,0))&amp;IF(C237="",""," — "&amp;C237)&amp;" — "&amp;D237&amp;" andares",""))</f>
        <v/>
      </c>
      <c r="F237" s="14"/>
      <c r="G237" s="5" t="str">
        <f aca="false">IF(B237="","",IFERROR(INDEX(Bolos!$J:$J,MATCH(B237,Bolos!$A:$A,0)),"Código não encontrado"))</f>
        <v/>
      </c>
      <c r="H237" s="5" t="str">
        <f aca="false">IF(B237="","",IF(G237="Disponível","Sim","Não"))</f>
        <v/>
      </c>
      <c r="I237" s="5" t="str">
        <f aca="false">IF(OR(B237="",D237=""),"",IFERROR(IF(AND(D237&gt;=INDEX(Bolos!$D:$D,MATCH(B237,Bolos!$A:$A,0)),D237&lt;=INDEX(Bolos!$E:$E,MATCH(B237,Bolos!$A:$A,0))),"OK","Fora do limite"),""))</f>
        <v/>
      </c>
      <c r="K237" s="14"/>
      <c r="L237" s="13" t="str">
        <f aca="false">IF(K237="","",ROUND(K237*(1-'Como usar'!$B$26),2))</f>
        <v/>
      </c>
      <c r="M237" s="5" t="str">
        <f aca="false">IF(B237="","",IF(AND(G237="Inativo",IFERROR(INDEX(Bolos!$O:$O,MATCH(B237,Bolos!$A:$A,0)),"")="Sim",K237&lt;&gt;""),"Sim","Não"))</f>
        <v/>
      </c>
      <c r="N237" s="14"/>
    </row>
    <row r="238" customFormat="false" ht="15" hidden="false" customHeight="true" outlineLevel="0" collapsed="false">
      <c r="E238" s="5" t="str">
        <f aca="false">IF(B238="","",IFERROR(INDEX(Bolos!$B:$B,MATCH(B238,Bolos!$A:$A,0))&amp;IF(C238="",""," — "&amp;C238)&amp;" — "&amp;D238&amp;" andares",""))</f>
        <v/>
      </c>
      <c r="F238" s="14"/>
      <c r="G238" s="5" t="str">
        <f aca="false">IF(B238="","",IFERROR(INDEX(Bolos!$J:$J,MATCH(B238,Bolos!$A:$A,0)),"Código não encontrado"))</f>
        <v/>
      </c>
      <c r="H238" s="5" t="str">
        <f aca="false">IF(B238="","",IF(G238="Disponível","Sim","Não"))</f>
        <v/>
      </c>
      <c r="I238" s="5" t="str">
        <f aca="false">IF(OR(B238="",D238=""),"",IFERROR(IF(AND(D238&gt;=INDEX(Bolos!$D:$D,MATCH(B238,Bolos!$A:$A,0)),D238&lt;=INDEX(Bolos!$E:$E,MATCH(B238,Bolos!$A:$A,0))),"OK","Fora do limite"),""))</f>
        <v/>
      </c>
      <c r="K238" s="14"/>
      <c r="L238" s="13" t="str">
        <f aca="false">IF(K238="","",ROUND(K238*(1-'Como usar'!$B$26),2))</f>
        <v/>
      </c>
      <c r="M238" s="5" t="str">
        <f aca="false">IF(B238="","",IF(AND(G238="Inativo",IFERROR(INDEX(Bolos!$O:$O,MATCH(B238,Bolos!$A:$A,0)),"")="Sim",K238&lt;&gt;""),"Sim","Não"))</f>
        <v/>
      </c>
      <c r="N238" s="14"/>
    </row>
    <row r="239" customFormat="false" ht="15" hidden="false" customHeight="true" outlineLevel="0" collapsed="false">
      <c r="E239" s="5" t="str">
        <f aca="false">IF(B239="","",IFERROR(INDEX(Bolos!$B:$B,MATCH(B239,Bolos!$A:$A,0))&amp;IF(C239="",""," — "&amp;C239)&amp;" — "&amp;D239&amp;" andares",""))</f>
        <v/>
      </c>
      <c r="F239" s="14"/>
      <c r="G239" s="5" t="str">
        <f aca="false">IF(B239="","",IFERROR(INDEX(Bolos!$J:$J,MATCH(B239,Bolos!$A:$A,0)),"Código não encontrado"))</f>
        <v/>
      </c>
      <c r="H239" s="5" t="str">
        <f aca="false">IF(B239="","",IF(G239="Disponível","Sim","Não"))</f>
        <v/>
      </c>
      <c r="I239" s="5" t="str">
        <f aca="false">IF(OR(B239="",D239=""),"",IFERROR(IF(AND(D239&gt;=INDEX(Bolos!$D:$D,MATCH(B239,Bolos!$A:$A,0)),D239&lt;=INDEX(Bolos!$E:$E,MATCH(B239,Bolos!$A:$A,0))),"OK","Fora do limite"),""))</f>
        <v/>
      </c>
      <c r="K239" s="14"/>
      <c r="L239" s="13" t="str">
        <f aca="false">IF(K239="","",ROUND(K239*(1-'Como usar'!$B$26),2))</f>
        <v/>
      </c>
      <c r="M239" s="5" t="str">
        <f aca="false">IF(B239="","",IF(AND(G239="Inativo",IFERROR(INDEX(Bolos!$O:$O,MATCH(B239,Bolos!$A:$A,0)),"")="Sim",K239&lt;&gt;""),"Sim","Não"))</f>
        <v/>
      </c>
      <c r="N239" s="14"/>
    </row>
    <row r="240" customFormat="false" ht="15" hidden="false" customHeight="true" outlineLevel="0" collapsed="false">
      <c r="E240" s="5" t="str">
        <f aca="false">IF(B240="","",IFERROR(INDEX(Bolos!$B:$B,MATCH(B240,Bolos!$A:$A,0))&amp;IF(C240="",""," — "&amp;C240)&amp;" — "&amp;D240&amp;" andares",""))</f>
        <v/>
      </c>
      <c r="F240" s="14"/>
      <c r="G240" s="5" t="str">
        <f aca="false">IF(B240="","",IFERROR(INDEX(Bolos!$J:$J,MATCH(B240,Bolos!$A:$A,0)),"Código não encontrado"))</f>
        <v/>
      </c>
      <c r="H240" s="5" t="str">
        <f aca="false">IF(B240="","",IF(G240="Disponível","Sim","Não"))</f>
        <v/>
      </c>
      <c r="I240" s="5" t="str">
        <f aca="false">IF(OR(B240="",D240=""),"",IFERROR(IF(AND(D240&gt;=INDEX(Bolos!$D:$D,MATCH(B240,Bolos!$A:$A,0)),D240&lt;=INDEX(Bolos!$E:$E,MATCH(B240,Bolos!$A:$A,0))),"OK","Fora do limite"),""))</f>
        <v/>
      </c>
      <c r="K240" s="14"/>
      <c r="L240" s="13" t="str">
        <f aca="false">IF(K240="","",ROUND(K240*(1-'Como usar'!$B$26),2))</f>
        <v/>
      </c>
      <c r="M240" s="5" t="str">
        <f aca="false">IF(B240="","",IF(AND(G240="Inativo",IFERROR(INDEX(Bolos!$O:$O,MATCH(B240,Bolos!$A:$A,0)),"")="Sim",K240&lt;&gt;""),"Sim","Não"))</f>
        <v/>
      </c>
      <c r="N240" s="14"/>
    </row>
    <row r="241" customFormat="false" ht="15" hidden="false" customHeight="true" outlineLevel="0" collapsed="false">
      <c r="E241" s="5" t="str">
        <f aca="false">IF(B241="","",IFERROR(INDEX(Bolos!$B:$B,MATCH(B241,Bolos!$A:$A,0))&amp;IF(C241="",""," — "&amp;C241)&amp;" — "&amp;D241&amp;" andares",""))</f>
        <v/>
      </c>
      <c r="F241" s="14"/>
      <c r="G241" s="5" t="str">
        <f aca="false">IF(B241="","",IFERROR(INDEX(Bolos!$J:$J,MATCH(B241,Bolos!$A:$A,0)),"Código não encontrado"))</f>
        <v/>
      </c>
      <c r="H241" s="5" t="str">
        <f aca="false">IF(B241="","",IF(G241="Disponível","Sim","Não"))</f>
        <v/>
      </c>
      <c r="I241" s="5" t="str">
        <f aca="false">IF(OR(B241="",D241=""),"",IFERROR(IF(AND(D241&gt;=INDEX(Bolos!$D:$D,MATCH(B241,Bolos!$A:$A,0)),D241&lt;=INDEX(Bolos!$E:$E,MATCH(B241,Bolos!$A:$A,0))),"OK","Fora do limite"),""))</f>
        <v/>
      </c>
      <c r="K241" s="14"/>
      <c r="L241" s="13" t="str">
        <f aca="false">IF(K241="","",ROUND(K241*(1-'Como usar'!$B$26),2))</f>
        <v/>
      </c>
      <c r="M241" s="5" t="str">
        <f aca="false">IF(B241="","",IF(AND(G241="Inativo",IFERROR(INDEX(Bolos!$O:$O,MATCH(B241,Bolos!$A:$A,0)),"")="Sim",K241&lt;&gt;""),"Sim","Não"))</f>
        <v/>
      </c>
      <c r="N241" s="14"/>
    </row>
    <row r="242" customFormat="false" ht="15" hidden="false" customHeight="true" outlineLevel="0" collapsed="false">
      <c r="E242" s="5" t="str">
        <f aca="false">IF(B242="","",IFERROR(INDEX(Bolos!$B:$B,MATCH(B242,Bolos!$A:$A,0))&amp;IF(C242="",""," — "&amp;C242)&amp;" — "&amp;D242&amp;" andares",""))</f>
        <v/>
      </c>
      <c r="F242" s="14"/>
      <c r="G242" s="5" t="str">
        <f aca="false">IF(B242="","",IFERROR(INDEX(Bolos!$J:$J,MATCH(B242,Bolos!$A:$A,0)),"Código não encontrado"))</f>
        <v/>
      </c>
      <c r="H242" s="5" t="str">
        <f aca="false">IF(B242="","",IF(G242="Disponível","Sim","Não"))</f>
        <v/>
      </c>
      <c r="I242" s="5" t="str">
        <f aca="false">IF(OR(B242="",D242=""),"",IFERROR(IF(AND(D242&gt;=INDEX(Bolos!$D:$D,MATCH(B242,Bolos!$A:$A,0)),D242&lt;=INDEX(Bolos!$E:$E,MATCH(B242,Bolos!$A:$A,0))),"OK","Fora do limite"),""))</f>
        <v/>
      </c>
      <c r="K242" s="14"/>
      <c r="L242" s="13" t="str">
        <f aca="false">IF(K242="","",ROUND(K242*(1-'Como usar'!$B$26),2))</f>
        <v/>
      </c>
      <c r="M242" s="5" t="str">
        <f aca="false">IF(B242="","",IF(AND(G242="Inativo",IFERROR(INDEX(Bolos!$O:$O,MATCH(B242,Bolos!$A:$A,0)),"")="Sim",K242&lt;&gt;""),"Sim","Não"))</f>
        <v/>
      </c>
      <c r="N242" s="14"/>
    </row>
    <row r="243" customFormat="false" ht="15" hidden="false" customHeight="true" outlineLevel="0" collapsed="false">
      <c r="E243" s="5" t="str">
        <f aca="false">IF(B243="","",IFERROR(INDEX(Bolos!$B:$B,MATCH(B243,Bolos!$A:$A,0))&amp;IF(C243="",""," — "&amp;C243)&amp;" — "&amp;D243&amp;" andares",""))</f>
        <v/>
      </c>
      <c r="F243" s="14"/>
      <c r="G243" s="5" t="str">
        <f aca="false">IF(B243="","",IFERROR(INDEX(Bolos!$J:$J,MATCH(B243,Bolos!$A:$A,0)),"Código não encontrado"))</f>
        <v/>
      </c>
      <c r="H243" s="5" t="str">
        <f aca="false">IF(B243="","",IF(G243="Disponível","Sim","Não"))</f>
        <v/>
      </c>
      <c r="I243" s="5" t="str">
        <f aca="false">IF(OR(B243="",D243=""),"",IFERROR(IF(AND(D243&gt;=INDEX(Bolos!$D:$D,MATCH(B243,Bolos!$A:$A,0)),D243&lt;=INDEX(Bolos!$E:$E,MATCH(B243,Bolos!$A:$A,0))),"OK","Fora do limite"),""))</f>
        <v/>
      </c>
      <c r="K243" s="14"/>
      <c r="L243" s="13" t="str">
        <f aca="false">IF(K243="","",ROUND(K243*(1-'Como usar'!$B$26),2))</f>
        <v/>
      </c>
      <c r="M243" s="5" t="str">
        <f aca="false">IF(B243="","",IF(AND(G243="Inativo",IFERROR(INDEX(Bolos!$O:$O,MATCH(B243,Bolos!$A:$A,0)),"")="Sim",K243&lt;&gt;""),"Sim","Não"))</f>
        <v/>
      </c>
      <c r="N243" s="14"/>
    </row>
    <row r="244" customFormat="false" ht="15" hidden="false" customHeight="true" outlineLevel="0" collapsed="false">
      <c r="E244" s="5" t="str">
        <f aca="false">IF(B244="","",IFERROR(INDEX(Bolos!$B:$B,MATCH(B244,Bolos!$A:$A,0))&amp;IF(C244="",""," — "&amp;C244)&amp;" — "&amp;D244&amp;" andares",""))</f>
        <v/>
      </c>
      <c r="F244" s="14"/>
      <c r="G244" s="5" t="str">
        <f aca="false">IF(B244="","",IFERROR(INDEX(Bolos!$J:$J,MATCH(B244,Bolos!$A:$A,0)),"Código não encontrado"))</f>
        <v/>
      </c>
      <c r="H244" s="5" t="str">
        <f aca="false">IF(B244="","",IF(G244="Disponível","Sim","Não"))</f>
        <v/>
      </c>
      <c r="I244" s="5" t="str">
        <f aca="false">IF(OR(B244="",D244=""),"",IFERROR(IF(AND(D244&gt;=INDEX(Bolos!$D:$D,MATCH(B244,Bolos!$A:$A,0)),D244&lt;=INDEX(Bolos!$E:$E,MATCH(B244,Bolos!$A:$A,0))),"OK","Fora do limite"),""))</f>
        <v/>
      </c>
      <c r="K244" s="14"/>
      <c r="L244" s="13" t="str">
        <f aca="false">IF(K244="","",ROUND(K244*(1-'Como usar'!$B$26),2))</f>
        <v/>
      </c>
      <c r="M244" s="5" t="str">
        <f aca="false">IF(B244="","",IF(AND(G244="Inativo",IFERROR(INDEX(Bolos!$O:$O,MATCH(B244,Bolos!$A:$A,0)),"")="Sim",K244&lt;&gt;""),"Sim","Não"))</f>
        <v/>
      </c>
      <c r="N244" s="14"/>
    </row>
    <row r="245" customFormat="false" ht="15" hidden="false" customHeight="true" outlineLevel="0" collapsed="false">
      <c r="E245" s="5" t="str">
        <f aca="false">IF(B245="","",IFERROR(INDEX(Bolos!$B:$B,MATCH(B245,Bolos!$A:$A,0))&amp;IF(C245="",""," — "&amp;C245)&amp;" — "&amp;D245&amp;" andares",""))</f>
        <v/>
      </c>
      <c r="F245" s="14"/>
      <c r="G245" s="5" t="str">
        <f aca="false">IF(B245="","",IFERROR(INDEX(Bolos!$J:$J,MATCH(B245,Bolos!$A:$A,0)),"Código não encontrado"))</f>
        <v/>
      </c>
      <c r="H245" s="5" t="str">
        <f aca="false">IF(B245="","",IF(G245="Disponível","Sim","Não"))</f>
        <v/>
      </c>
      <c r="I245" s="5" t="str">
        <f aca="false">IF(OR(B245="",D245=""),"",IFERROR(IF(AND(D245&gt;=INDEX(Bolos!$D:$D,MATCH(B245,Bolos!$A:$A,0)),D245&lt;=INDEX(Bolos!$E:$E,MATCH(B245,Bolos!$A:$A,0))),"OK","Fora do limite"),""))</f>
        <v/>
      </c>
      <c r="K245" s="14"/>
      <c r="L245" s="13" t="str">
        <f aca="false">IF(K245="","",ROUND(K245*(1-'Como usar'!$B$26),2))</f>
        <v/>
      </c>
      <c r="M245" s="5" t="str">
        <f aca="false">IF(B245="","",IF(AND(G245="Inativo",IFERROR(INDEX(Bolos!$O:$O,MATCH(B245,Bolos!$A:$A,0)),"")="Sim",K245&lt;&gt;""),"Sim","Não"))</f>
        <v/>
      </c>
      <c r="N245" s="14"/>
    </row>
    <row r="246" customFormat="false" ht="15" hidden="false" customHeight="true" outlineLevel="0" collapsed="false">
      <c r="E246" s="5" t="str">
        <f aca="false">IF(B246="","",IFERROR(INDEX(Bolos!$B:$B,MATCH(B246,Bolos!$A:$A,0))&amp;IF(C246="",""," — "&amp;C246)&amp;" — "&amp;D246&amp;" andares",""))</f>
        <v/>
      </c>
      <c r="F246" s="14"/>
      <c r="G246" s="5" t="str">
        <f aca="false">IF(B246="","",IFERROR(INDEX(Bolos!$J:$J,MATCH(B246,Bolos!$A:$A,0)),"Código não encontrado"))</f>
        <v/>
      </c>
      <c r="H246" s="5" t="str">
        <f aca="false">IF(B246="","",IF(G246="Disponível","Sim","Não"))</f>
        <v/>
      </c>
      <c r="I246" s="5" t="str">
        <f aca="false">IF(OR(B246="",D246=""),"",IFERROR(IF(AND(D246&gt;=INDEX(Bolos!$D:$D,MATCH(B246,Bolos!$A:$A,0)),D246&lt;=INDEX(Bolos!$E:$E,MATCH(B246,Bolos!$A:$A,0))),"OK","Fora do limite"),""))</f>
        <v/>
      </c>
      <c r="K246" s="14"/>
      <c r="L246" s="13" t="str">
        <f aca="false">IF(K246="","",ROUND(K246*(1-'Como usar'!$B$26),2))</f>
        <v/>
      </c>
      <c r="M246" s="5" t="str">
        <f aca="false">IF(B246="","",IF(AND(G246="Inativo",IFERROR(INDEX(Bolos!$O:$O,MATCH(B246,Bolos!$A:$A,0)),"")="Sim",K246&lt;&gt;""),"Sim","Não"))</f>
        <v/>
      </c>
      <c r="N246" s="14"/>
    </row>
    <row r="247" customFormat="false" ht="15" hidden="false" customHeight="true" outlineLevel="0" collapsed="false">
      <c r="E247" s="5" t="str">
        <f aca="false">IF(B247="","",IFERROR(INDEX(Bolos!$B:$B,MATCH(B247,Bolos!$A:$A,0))&amp;IF(C247="",""," — "&amp;C247)&amp;" — "&amp;D247&amp;" andares",""))</f>
        <v/>
      </c>
      <c r="F247" s="14"/>
      <c r="G247" s="5" t="str">
        <f aca="false">IF(B247="","",IFERROR(INDEX(Bolos!$J:$J,MATCH(B247,Bolos!$A:$A,0)),"Código não encontrado"))</f>
        <v/>
      </c>
      <c r="H247" s="5" t="str">
        <f aca="false">IF(B247="","",IF(G247="Disponível","Sim","Não"))</f>
        <v/>
      </c>
      <c r="I247" s="5" t="str">
        <f aca="false">IF(OR(B247="",D247=""),"",IFERROR(IF(AND(D247&gt;=INDEX(Bolos!$D:$D,MATCH(B247,Bolos!$A:$A,0)),D247&lt;=INDEX(Bolos!$E:$E,MATCH(B247,Bolos!$A:$A,0))),"OK","Fora do limite"),""))</f>
        <v/>
      </c>
      <c r="K247" s="14"/>
      <c r="L247" s="13" t="str">
        <f aca="false">IF(K247="","",ROUND(K247*(1-'Como usar'!$B$26),2))</f>
        <v/>
      </c>
      <c r="M247" s="5" t="str">
        <f aca="false">IF(B247="","",IF(AND(G247="Inativo",IFERROR(INDEX(Bolos!$O:$O,MATCH(B247,Bolos!$A:$A,0)),"")="Sim",K247&lt;&gt;""),"Sim","Não"))</f>
        <v/>
      </c>
      <c r="N247" s="14"/>
    </row>
    <row r="248" customFormat="false" ht="15" hidden="false" customHeight="true" outlineLevel="0" collapsed="false">
      <c r="E248" s="5" t="str">
        <f aca="false">IF(B248="","",IFERROR(INDEX(Bolos!$B:$B,MATCH(B248,Bolos!$A:$A,0))&amp;IF(C248="",""," — "&amp;C248)&amp;" — "&amp;D248&amp;" andares",""))</f>
        <v/>
      </c>
      <c r="F248" s="14"/>
      <c r="G248" s="5" t="str">
        <f aca="false">IF(B248="","",IFERROR(INDEX(Bolos!$J:$J,MATCH(B248,Bolos!$A:$A,0)),"Código não encontrado"))</f>
        <v/>
      </c>
      <c r="H248" s="5" t="str">
        <f aca="false">IF(B248="","",IF(G248="Disponível","Sim","Não"))</f>
        <v/>
      </c>
      <c r="I248" s="5" t="str">
        <f aca="false">IF(OR(B248="",D248=""),"",IFERROR(IF(AND(D248&gt;=INDEX(Bolos!$D:$D,MATCH(B248,Bolos!$A:$A,0)),D248&lt;=INDEX(Bolos!$E:$E,MATCH(B248,Bolos!$A:$A,0))),"OK","Fora do limite"),""))</f>
        <v/>
      </c>
      <c r="K248" s="14"/>
      <c r="L248" s="13" t="str">
        <f aca="false">IF(K248="","",ROUND(K248*(1-'Como usar'!$B$26),2))</f>
        <v/>
      </c>
      <c r="M248" s="5" t="str">
        <f aca="false">IF(B248="","",IF(AND(G248="Inativo",IFERROR(INDEX(Bolos!$O:$O,MATCH(B248,Bolos!$A:$A,0)),"")="Sim",K248&lt;&gt;""),"Sim","Não"))</f>
        <v/>
      </c>
      <c r="N248" s="14"/>
    </row>
    <row r="249" customFormat="false" ht="15" hidden="false" customHeight="true" outlineLevel="0" collapsed="false">
      <c r="E249" s="5" t="str">
        <f aca="false">IF(B249="","",IFERROR(INDEX(Bolos!$B:$B,MATCH(B249,Bolos!$A:$A,0))&amp;IF(C249="",""," — "&amp;C249)&amp;" — "&amp;D249&amp;" andares",""))</f>
        <v/>
      </c>
      <c r="F249" s="14"/>
      <c r="G249" s="5" t="str">
        <f aca="false">IF(B249="","",IFERROR(INDEX(Bolos!$J:$J,MATCH(B249,Bolos!$A:$A,0)),"Código não encontrado"))</f>
        <v/>
      </c>
      <c r="H249" s="5" t="str">
        <f aca="false">IF(B249="","",IF(G249="Disponível","Sim","Não"))</f>
        <v/>
      </c>
      <c r="I249" s="5" t="str">
        <f aca="false">IF(OR(B249="",D249=""),"",IFERROR(IF(AND(D249&gt;=INDEX(Bolos!$D:$D,MATCH(B249,Bolos!$A:$A,0)),D249&lt;=INDEX(Bolos!$E:$E,MATCH(B249,Bolos!$A:$A,0))),"OK","Fora do limite"),""))</f>
        <v/>
      </c>
      <c r="K249" s="14"/>
      <c r="L249" s="13" t="str">
        <f aca="false">IF(K249="","",ROUND(K249*(1-'Como usar'!$B$26),2))</f>
        <v/>
      </c>
      <c r="M249" s="5" t="str">
        <f aca="false">IF(B249="","",IF(AND(G249="Inativo",IFERROR(INDEX(Bolos!$O:$O,MATCH(B249,Bolos!$A:$A,0)),"")="Sim",K249&lt;&gt;""),"Sim","Não"))</f>
        <v/>
      </c>
      <c r="N249" s="14"/>
    </row>
    <row r="250" customFormat="false" ht="15" hidden="false" customHeight="true" outlineLevel="0" collapsed="false">
      <c r="E250" s="5" t="str">
        <f aca="false">IF(B250="","",IFERROR(INDEX(Bolos!$B:$B,MATCH(B250,Bolos!$A:$A,0))&amp;IF(C250="",""," — "&amp;C250)&amp;" — "&amp;D250&amp;" andares",""))</f>
        <v/>
      </c>
      <c r="F250" s="14"/>
      <c r="G250" s="5" t="str">
        <f aca="false">IF(B250="","",IFERROR(INDEX(Bolos!$J:$J,MATCH(B250,Bolos!$A:$A,0)),"Código não encontrado"))</f>
        <v/>
      </c>
      <c r="H250" s="5" t="str">
        <f aca="false">IF(B250="","",IF(G250="Disponível","Sim","Não"))</f>
        <v/>
      </c>
      <c r="I250" s="5" t="str">
        <f aca="false">IF(OR(B250="",D250=""),"",IFERROR(IF(AND(D250&gt;=INDEX(Bolos!$D:$D,MATCH(B250,Bolos!$A:$A,0)),D250&lt;=INDEX(Bolos!$E:$E,MATCH(B250,Bolos!$A:$A,0))),"OK","Fora do limite"),""))</f>
        <v/>
      </c>
      <c r="K250" s="14"/>
      <c r="L250" s="13" t="str">
        <f aca="false">IF(K250="","",ROUND(K250*(1-'Como usar'!$B$26),2))</f>
        <v/>
      </c>
      <c r="M250" s="5" t="str">
        <f aca="false">IF(B250="","",IF(AND(G250="Inativo",IFERROR(INDEX(Bolos!$O:$O,MATCH(B250,Bolos!$A:$A,0)),"")="Sim",K250&lt;&gt;""),"Sim","Não"))</f>
        <v/>
      </c>
      <c r="N250" s="14"/>
    </row>
    <row r="251" customFormat="false" ht="15" hidden="false" customHeight="true" outlineLevel="0" collapsed="false">
      <c r="E251" s="5" t="str">
        <f aca="false">IF(B251="","",IFERROR(INDEX(Bolos!$B:$B,MATCH(B251,Bolos!$A:$A,0))&amp;IF(C251="",""," — "&amp;C251)&amp;" — "&amp;D251&amp;" andares",""))</f>
        <v/>
      </c>
      <c r="F251" s="14"/>
      <c r="G251" s="5" t="str">
        <f aca="false">IF(B251="","",IFERROR(INDEX(Bolos!$J:$J,MATCH(B251,Bolos!$A:$A,0)),"Código não encontrado"))</f>
        <v/>
      </c>
      <c r="H251" s="5" t="str">
        <f aca="false">IF(B251="","",IF(G251="Disponível","Sim","Não"))</f>
        <v/>
      </c>
      <c r="I251" s="5" t="str">
        <f aca="false">IF(OR(B251="",D251=""),"",IFERROR(IF(AND(D251&gt;=INDEX(Bolos!$D:$D,MATCH(B251,Bolos!$A:$A,0)),D251&lt;=INDEX(Bolos!$E:$E,MATCH(B251,Bolos!$A:$A,0))),"OK","Fora do limite"),""))</f>
        <v/>
      </c>
      <c r="K251" s="14"/>
      <c r="L251" s="13" t="str">
        <f aca="false">IF(K251="","",ROUND(K251*(1-'Como usar'!$B$26),2))</f>
        <v/>
      </c>
      <c r="M251" s="5" t="str">
        <f aca="false">IF(B251="","",IF(AND(G251="Inativo",IFERROR(INDEX(Bolos!$O:$O,MATCH(B251,Bolos!$A:$A,0)),"")="Sim",K251&lt;&gt;""),"Sim","Não"))</f>
        <v/>
      </c>
      <c r="N251" s="14"/>
    </row>
    <row r="252" customFormat="false" ht="15" hidden="false" customHeight="true" outlineLevel="0" collapsed="false">
      <c r="E252" s="5" t="str">
        <f aca="false">IF(B252="","",IFERROR(INDEX(Bolos!$B:$B,MATCH(B252,Bolos!$A:$A,0))&amp;IF(C252="",""," — "&amp;C252)&amp;" — "&amp;D252&amp;" andares",""))</f>
        <v/>
      </c>
      <c r="F252" s="14"/>
      <c r="G252" s="5" t="str">
        <f aca="false">IF(B252="","",IFERROR(INDEX(Bolos!$J:$J,MATCH(B252,Bolos!$A:$A,0)),"Código não encontrado"))</f>
        <v/>
      </c>
      <c r="H252" s="5" t="str">
        <f aca="false">IF(B252="","",IF(G252="Disponível","Sim","Não"))</f>
        <v/>
      </c>
      <c r="I252" s="5" t="str">
        <f aca="false">IF(OR(B252="",D252=""),"",IFERROR(IF(AND(D252&gt;=INDEX(Bolos!$D:$D,MATCH(B252,Bolos!$A:$A,0)),D252&lt;=INDEX(Bolos!$E:$E,MATCH(B252,Bolos!$A:$A,0))),"OK","Fora do limite"),""))</f>
        <v/>
      </c>
      <c r="K252" s="14"/>
      <c r="L252" s="13" t="str">
        <f aca="false">IF(K252="","",ROUND(K252*(1-'Como usar'!$B$26),2))</f>
        <v/>
      </c>
      <c r="M252" s="5" t="str">
        <f aca="false">IF(B252="","",IF(AND(G252="Inativo",IFERROR(INDEX(Bolos!$O:$O,MATCH(B252,Bolos!$A:$A,0)),"")="Sim",K252&lt;&gt;""),"Sim","Não"))</f>
        <v/>
      </c>
      <c r="N252" s="14"/>
    </row>
    <row r="253" customFormat="false" ht="15" hidden="false" customHeight="true" outlineLevel="0" collapsed="false">
      <c r="E253" s="5" t="str">
        <f aca="false">IF(B253="","",IFERROR(INDEX(Bolos!$B:$B,MATCH(B253,Bolos!$A:$A,0))&amp;IF(C253="",""," — "&amp;C253)&amp;" — "&amp;D253&amp;" andares",""))</f>
        <v/>
      </c>
      <c r="F253" s="14"/>
      <c r="G253" s="5" t="str">
        <f aca="false">IF(B253="","",IFERROR(INDEX(Bolos!$J:$J,MATCH(B253,Bolos!$A:$A,0)),"Código não encontrado"))</f>
        <v/>
      </c>
      <c r="H253" s="5" t="str">
        <f aca="false">IF(B253="","",IF(G253="Disponível","Sim","Não"))</f>
        <v/>
      </c>
      <c r="I253" s="5" t="str">
        <f aca="false">IF(OR(B253="",D253=""),"",IFERROR(IF(AND(D253&gt;=INDEX(Bolos!$D:$D,MATCH(B253,Bolos!$A:$A,0)),D253&lt;=INDEX(Bolos!$E:$E,MATCH(B253,Bolos!$A:$A,0))),"OK","Fora do limite"),""))</f>
        <v/>
      </c>
      <c r="K253" s="14"/>
      <c r="L253" s="13" t="str">
        <f aca="false">IF(K253="","",ROUND(K253*(1-'Como usar'!$B$26),2))</f>
        <v/>
      </c>
      <c r="M253" s="5" t="str">
        <f aca="false">IF(B253="","",IF(AND(G253="Inativo",IFERROR(INDEX(Bolos!$O:$O,MATCH(B253,Bolos!$A:$A,0)),"")="Sim",K253&lt;&gt;""),"Sim","Não"))</f>
        <v/>
      </c>
      <c r="N253" s="14"/>
    </row>
    <row r="254" customFormat="false" ht="15" hidden="false" customHeight="true" outlineLevel="0" collapsed="false">
      <c r="E254" s="5" t="str">
        <f aca="false">IF(B254="","",IFERROR(INDEX(Bolos!$B:$B,MATCH(B254,Bolos!$A:$A,0))&amp;IF(C254="",""," — "&amp;C254)&amp;" — "&amp;D254&amp;" andares",""))</f>
        <v/>
      </c>
      <c r="F254" s="14"/>
      <c r="G254" s="5" t="str">
        <f aca="false">IF(B254="","",IFERROR(INDEX(Bolos!$J:$J,MATCH(B254,Bolos!$A:$A,0)),"Código não encontrado"))</f>
        <v/>
      </c>
      <c r="H254" s="5" t="str">
        <f aca="false">IF(B254="","",IF(G254="Disponível","Sim","Não"))</f>
        <v/>
      </c>
      <c r="I254" s="5" t="str">
        <f aca="false">IF(OR(B254="",D254=""),"",IFERROR(IF(AND(D254&gt;=INDEX(Bolos!$D:$D,MATCH(B254,Bolos!$A:$A,0)),D254&lt;=INDEX(Bolos!$E:$E,MATCH(B254,Bolos!$A:$A,0))),"OK","Fora do limite"),""))</f>
        <v/>
      </c>
      <c r="K254" s="14"/>
      <c r="L254" s="13" t="str">
        <f aca="false">IF(K254="","",ROUND(K254*(1-'Como usar'!$B$26),2))</f>
        <v/>
      </c>
      <c r="M254" s="5" t="str">
        <f aca="false">IF(B254="","",IF(AND(G254="Inativo",IFERROR(INDEX(Bolos!$O:$O,MATCH(B254,Bolos!$A:$A,0)),"")="Sim",K254&lt;&gt;""),"Sim","Não"))</f>
        <v/>
      </c>
      <c r="N254" s="14"/>
    </row>
    <row r="255" customFormat="false" ht="15" hidden="false" customHeight="true" outlineLevel="0" collapsed="false">
      <c r="E255" s="5" t="str">
        <f aca="false">IF(B255="","",IFERROR(INDEX(Bolos!$B:$B,MATCH(B255,Bolos!$A:$A,0))&amp;IF(C255="",""," — "&amp;C255)&amp;" — "&amp;D255&amp;" andares",""))</f>
        <v/>
      </c>
      <c r="F255" s="14"/>
      <c r="G255" s="5" t="str">
        <f aca="false">IF(B255="","",IFERROR(INDEX(Bolos!$J:$J,MATCH(B255,Bolos!$A:$A,0)),"Código não encontrado"))</f>
        <v/>
      </c>
      <c r="H255" s="5" t="str">
        <f aca="false">IF(B255="","",IF(G255="Disponível","Sim","Não"))</f>
        <v/>
      </c>
      <c r="I255" s="5" t="str">
        <f aca="false">IF(OR(B255="",D255=""),"",IFERROR(IF(AND(D255&gt;=INDEX(Bolos!$D:$D,MATCH(B255,Bolos!$A:$A,0)),D255&lt;=INDEX(Bolos!$E:$E,MATCH(B255,Bolos!$A:$A,0))),"OK","Fora do limite"),""))</f>
        <v/>
      </c>
      <c r="K255" s="14"/>
      <c r="L255" s="13" t="str">
        <f aca="false">IF(K255="","",ROUND(K255*(1-'Como usar'!$B$26),2))</f>
        <v/>
      </c>
      <c r="M255" s="5" t="str">
        <f aca="false">IF(B255="","",IF(AND(G255="Inativo",IFERROR(INDEX(Bolos!$O:$O,MATCH(B255,Bolos!$A:$A,0)),"")="Sim",K255&lt;&gt;""),"Sim","Não"))</f>
        <v/>
      </c>
      <c r="N255" s="14"/>
    </row>
    <row r="256" customFormat="false" ht="15" hidden="false" customHeight="true" outlineLevel="0" collapsed="false">
      <c r="E256" s="5" t="str">
        <f aca="false">IF(B256="","",IFERROR(INDEX(Bolos!$B:$B,MATCH(B256,Bolos!$A:$A,0))&amp;IF(C256="",""," — "&amp;C256)&amp;" — "&amp;D256&amp;" andares",""))</f>
        <v/>
      </c>
      <c r="F256" s="14"/>
      <c r="G256" s="5" t="str">
        <f aca="false">IF(B256="","",IFERROR(INDEX(Bolos!$J:$J,MATCH(B256,Bolos!$A:$A,0)),"Código não encontrado"))</f>
        <v/>
      </c>
      <c r="H256" s="5" t="str">
        <f aca="false">IF(B256="","",IF(G256="Disponível","Sim","Não"))</f>
        <v/>
      </c>
      <c r="I256" s="5" t="str">
        <f aca="false">IF(OR(B256="",D256=""),"",IFERROR(IF(AND(D256&gt;=INDEX(Bolos!$D:$D,MATCH(B256,Bolos!$A:$A,0)),D256&lt;=INDEX(Bolos!$E:$E,MATCH(B256,Bolos!$A:$A,0))),"OK","Fora do limite"),""))</f>
        <v/>
      </c>
      <c r="K256" s="14"/>
      <c r="L256" s="13" t="str">
        <f aca="false">IF(K256="","",ROUND(K256*(1-'Como usar'!$B$26),2))</f>
        <v/>
      </c>
      <c r="M256" s="5" t="str">
        <f aca="false">IF(B256="","",IF(AND(G256="Inativo",IFERROR(INDEX(Bolos!$O:$O,MATCH(B256,Bolos!$A:$A,0)),"")="Sim",K256&lt;&gt;""),"Sim","Não"))</f>
        <v/>
      </c>
      <c r="N256" s="14"/>
    </row>
    <row r="257" customFormat="false" ht="15" hidden="false" customHeight="true" outlineLevel="0" collapsed="false">
      <c r="E257" s="5" t="str">
        <f aca="false">IF(B257="","",IFERROR(INDEX(Bolos!$B:$B,MATCH(B257,Bolos!$A:$A,0))&amp;IF(C257="",""," — "&amp;C257)&amp;" — "&amp;D257&amp;" andares",""))</f>
        <v/>
      </c>
      <c r="F257" s="14"/>
      <c r="G257" s="5" t="str">
        <f aca="false">IF(B257="","",IFERROR(INDEX(Bolos!$J:$J,MATCH(B257,Bolos!$A:$A,0)),"Código não encontrado"))</f>
        <v/>
      </c>
      <c r="H257" s="5" t="str">
        <f aca="false">IF(B257="","",IF(G257="Disponível","Sim","Não"))</f>
        <v/>
      </c>
      <c r="I257" s="5" t="str">
        <f aca="false">IF(OR(B257="",D257=""),"",IFERROR(IF(AND(D257&gt;=INDEX(Bolos!$D:$D,MATCH(B257,Bolos!$A:$A,0)),D257&lt;=INDEX(Bolos!$E:$E,MATCH(B257,Bolos!$A:$A,0))),"OK","Fora do limite"),""))</f>
        <v/>
      </c>
      <c r="K257" s="14"/>
      <c r="L257" s="13" t="str">
        <f aca="false">IF(K257="","",ROUND(K257*(1-'Como usar'!$B$26),2))</f>
        <v/>
      </c>
      <c r="M257" s="5" t="str">
        <f aca="false">IF(B257="","",IF(AND(G257="Inativo",IFERROR(INDEX(Bolos!$O:$O,MATCH(B257,Bolos!$A:$A,0)),"")="Sim",K257&lt;&gt;""),"Sim","Não"))</f>
        <v/>
      </c>
      <c r="N257" s="14"/>
    </row>
    <row r="258" customFormat="false" ht="15" hidden="false" customHeight="true" outlineLevel="0" collapsed="false">
      <c r="E258" s="5" t="str">
        <f aca="false">IF(B258="","",IFERROR(INDEX(Bolos!$B:$B,MATCH(B258,Bolos!$A:$A,0))&amp;IF(C258="",""," — "&amp;C258)&amp;" — "&amp;D258&amp;" andares",""))</f>
        <v/>
      </c>
      <c r="F258" s="14"/>
      <c r="G258" s="5" t="str">
        <f aca="false">IF(B258="","",IFERROR(INDEX(Bolos!$J:$J,MATCH(B258,Bolos!$A:$A,0)),"Código não encontrado"))</f>
        <v/>
      </c>
      <c r="H258" s="5" t="str">
        <f aca="false">IF(B258="","",IF(G258="Disponível","Sim","Não"))</f>
        <v/>
      </c>
      <c r="I258" s="5" t="str">
        <f aca="false">IF(OR(B258="",D258=""),"",IFERROR(IF(AND(D258&gt;=INDEX(Bolos!$D:$D,MATCH(B258,Bolos!$A:$A,0)),D258&lt;=INDEX(Bolos!$E:$E,MATCH(B258,Bolos!$A:$A,0))),"OK","Fora do limite"),""))</f>
        <v/>
      </c>
      <c r="K258" s="14"/>
      <c r="L258" s="13" t="str">
        <f aca="false">IF(K258="","",ROUND(K258*(1-'Como usar'!$B$26),2))</f>
        <v/>
      </c>
      <c r="M258" s="5" t="str">
        <f aca="false">IF(B258="","",IF(AND(G258="Inativo",IFERROR(INDEX(Bolos!$O:$O,MATCH(B258,Bolos!$A:$A,0)),"")="Sim",K258&lt;&gt;""),"Sim","Não"))</f>
        <v/>
      </c>
      <c r="N258" s="14"/>
    </row>
    <row r="259" customFormat="false" ht="15" hidden="false" customHeight="true" outlineLevel="0" collapsed="false">
      <c r="E259" s="5" t="str">
        <f aca="false">IF(B259="","",IFERROR(INDEX(Bolos!$B:$B,MATCH(B259,Bolos!$A:$A,0))&amp;IF(C259="",""," — "&amp;C259)&amp;" — "&amp;D259&amp;" andares",""))</f>
        <v/>
      </c>
      <c r="F259" s="14"/>
      <c r="G259" s="5" t="str">
        <f aca="false">IF(B259="","",IFERROR(INDEX(Bolos!$J:$J,MATCH(B259,Bolos!$A:$A,0)),"Código não encontrado"))</f>
        <v/>
      </c>
      <c r="H259" s="5" t="str">
        <f aca="false">IF(B259="","",IF(G259="Disponível","Sim","Não"))</f>
        <v/>
      </c>
      <c r="I259" s="5" t="str">
        <f aca="false">IF(OR(B259="",D259=""),"",IFERROR(IF(AND(D259&gt;=INDEX(Bolos!$D:$D,MATCH(B259,Bolos!$A:$A,0)),D259&lt;=INDEX(Bolos!$E:$E,MATCH(B259,Bolos!$A:$A,0))),"OK","Fora do limite"),""))</f>
        <v/>
      </c>
      <c r="K259" s="14"/>
      <c r="L259" s="13" t="str">
        <f aca="false">IF(K259="","",ROUND(K259*(1-'Como usar'!$B$26),2))</f>
        <v/>
      </c>
      <c r="M259" s="5" t="str">
        <f aca="false">IF(B259="","",IF(AND(G259="Inativo",IFERROR(INDEX(Bolos!$O:$O,MATCH(B259,Bolos!$A:$A,0)),"")="Sim",K259&lt;&gt;""),"Sim","Não"))</f>
        <v/>
      </c>
      <c r="N259" s="14"/>
    </row>
    <row r="260" customFormat="false" ht="15" hidden="false" customHeight="true" outlineLevel="0" collapsed="false">
      <c r="E260" s="5" t="str">
        <f aca="false">IF(B260="","",IFERROR(INDEX(Bolos!$B:$B,MATCH(B260,Bolos!$A:$A,0))&amp;IF(C260="",""," — "&amp;C260)&amp;" — "&amp;D260&amp;" andares",""))</f>
        <v/>
      </c>
      <c r="F260" s="14"/>
      <c r="G260" s="5" t="str">
        <f aca="false">IF(B260="","",IFERROR(INDEX(Bolos!$J:$J,MATCH(B260,Bolos!$A:$A,0)),"Código não encontrado"))</f>
        <v/>
      </c>
      <c r="H260" s="5" t="str">
        <f aca="false">IF(B260="","",IF(G260="Disponível","Sim","Não"))</f>
        <v/>
      </c>
      <c r="I260" s="5" t="str">
        <f aca="false">IF(OR(B260="",D260=""),"",IFERROR(IF(AND(D260&gt;=INDEX(Bolos!$D:$D,MATCH(B260,Bolos!$A:$A,0)),D260&lt;=INDEX(Bolos!$E:$E,MATCH(B260,Bolos!$A:$A,0))),"OK","Fora do limite"),""))</f>
        <v/>
      </c>
      <c r="K260" s="14"/>
      <c r="L260" s="13" t="str">
        <f aca="false">IF(K260="","",ROUND(K260*(1-'Como usar'!$B$26),2))</f>
        <v/>
      </c>
      <c r="M260" s="5" t="str">
        <f aca="false">IF(B260="","",IF(AND(G260="Inativo",IFERROR(INDEX(Bolos!$O:$O,MATCH(B260,Bolos!$A:$A,0)),"")="Sim",K260&lt;&gt;""),"Sim","Não"))</f>
        <v/>
      </c>
      <c r="N260" s="14"/>
    </row>
    <row r="261" customFormat="false" ht="15" hidden="false" customHeight="true" outlineLevel="0" collapsed="false">
      <c r="E261" s="5" t="str">
        <f aca="false">IF(B261="","",IFERROR(INDEX(Bolos!$B:$B,MATCH(B261,Bolos!$A:$A,0))&amp;IF(C261="",""," — "&amp;C261)&amp;" — "&amp;D261&amp;" andares",""))</f>
        <v/>
      </c>
      <c r="F261" s="14"/>
      <c r="G261" s="5" t="str">
        <f aca="false">IF(B261="","",IFERROR(INDEX(Bolos!$J:$J,MATCH(B261,Bolos!$A:$A,0)),"Código não encontrado"))</f>
        <v/>
      </c>
      <c r="H261" s="5" t="str">
        <f aca="false">IF(B261="","",IF(G261="Disponível","Sim","Não"))</f>
        <v/>
      </c>
      <c r="I261" s="5" t="str">
        <f aca="false">IF(OR(B261="",D261=""),"",IFERROR(IF(AND(D261&gt;=INDEX(Bolos!$D:$D,MATCH(B261,Bolos!$A:$A,0)),D261&lt;=INDEX(Bolos!$E:$E,MATCH(B261,Bolos!$A:$A,0))),"OK","Fora do limite"),""))</f>
        <v/>
      </c>
      <c r="K261" s="14"/>
      <c r="L261" s="13" t="str">
        <f aca="false">IF(K261="","",ROUND(K261*(1-'Como usar'!$B$26),2))</f>
        <v/>
      </c>
      <c r="M261" s="5" t="str">
        <f aca="false">IF(B261="","",IF(AND(G261="Inativo",IFERROR(INDEX(Bolos!$O:$O,MATCH(B261,Bolos!$A:$A,0)),"")="Sim",K261&lt;&gt;""),"Sim","Não"))</f>
        <v/>
      </c>
      <c r="N261" s="14"/>
    </row>
    <row r="262" customFormat="false" ht="15" hidden="false" customHeight="true" outlineLevel="0" collapsed="false">
      <c r="E262" s="5" t="str">
        <f aca="false">IF(B262="","",IFERROR(INDEX(Bolos!$B:$B,MATCH(B262,Bolos!$A:$A,0))&amp;IF(C262="",""," — "&amp;C262)&amp;" — "&amp;D262&amp;" andares",""))</f>
        <v/>
      </c>
      <c r="F262" s="14"/>
      <c r="G262" s="5" t="str">
        <f aca="false">IF(B262="","",IFERROR(INDEX(Bolos!$J:$J,MATCH(B262,Bolos!$A:$A,0)),"Código não encontrado"))</f>
        <v/>
      </c>
      <c r="H262" s="5" t="str">
        <f aca="false">IF(B262="","",IF(G262="Disponível","Sim","Não"))</f>
        <v/>
      </c>
      <c r="I262" s="5" t="str">
        <f aca="false">IF(OR(B262="",D262=""),"",IFERROR(IF(AND(D262&gt;=INDEX(Bolos!$D:$D,MATCH(B262,Bolos!$A:$A,0)),D262&lt;=INDEX(Bolos!$E:$E,MATCH(B262,Bolos!$A:$A,0))),"OK","Fora do limite"),""))</f>
        <v/>
      </c>
      <c r="K262" s="14"/>
      <c r="L262" s="13" t="str">
        <f aca="false">IF(K262="","",ROUND(K262*(1-'Como usar'!$B$26),2))</f>
        <v/>
      </c>
      <c r="M262" s="5" t="str">
        <f aca="false">IF(B262="","",IF(AND(G262="Inativo",IFERROR(INDEX(Bolos!$O:$O,MATCH(B262,Bolos!$A:$A,0)),"")="Sim",K262&lt;&gt;""),"Sim","Não"))</f>
        <v/>
      </c>
      <c r="N262" s="14"/>
    </row>
    <row r="263" customFormat="false" ht="15" hidden="false" customHeight="true" outlineLevel="0" collapsed="false">
      <c r="E263" s="5" t="str">
        <f aca="false">IF(B263="","",IFERROR(INDEX(Bolos!$B:$B,MATCH(B263,Bolos!$A:$A,0))&amp;IF(C263="",""," — "&amp;C263)&amp;" — "&amp;D263&amp;" andares",""))</f>
        <v/>
      </c>
      <c r="F263" s="14"/>
      <c r="G263" s="5" t="str">
        <f aca="false">IF(B263="","",IFERROR(INDEX(Bolos!$J:$J,MATCH(B263,Bolos!$A:$A,0)),"Código não encontrado"))</f>
        <v/>
      </c>
      <c r="H263" s="5" t="str">
        <f aca="false">IF(B263="","",IF(G263="Disponível","Sim","Não"))</f>
        <v/>
      </c>
      <c r="I263" s="5" t="str">
        <f aca="false">IF(OR(B263="",D263=""),"",IFERROR(IF(AND(D263&gt;=INDEX(Bolos!$D:$D,MATCH(B263,Bolos!$A:$A,0)),D263&lt;=INDEX(Bolos!$E:$E,MATCH(B263,Bolos!$A:$A,0))),"OK","Fora do limite"),""))</f>
        <v/>
      </c>
      <c r="K263" s="14"/>
      <c r="L263" s="13" t="str">
        <f aca="false">IF(K263="","",ROUND(K263*(1-'Como usar'!$B$26),2))</f>
        <v/>
      </c>
      <c r="M263" s="5" t="str">
        <f aca="false">IF(B263="","",IF(AND(G263="Inativo",IFERROR(INDEX(Bolos!$O:$O,MATCH(B263,Bolos!$A:$A,0)),"")="Sim",K263&lt;&gt;""),"Sim","Não"))</f>
        <v/>
      </c>
      <c r="N263" s="14"/>
    </row>
    <row r="264" customFormat="false" ht="15" hidden="false" customHeight="true" outlineLevel="0" collapsed="false">
      <c r="E264" s="5" t="str">
        <f aca="false">IF(B264="","",IFERROR(INDEX(Bolos!$B:$B,MATCH(B264,Bolos!$A:$A,0))&amp;IF(C264="",""," — "&amp;C264)&amp;" — "&amp;D264&amp;" andares",""))</f>
        <v/>
      </c>
      <c r="F264" s="14"/>
      <c r="G264" s="5" t="str">
        <f aca="false">IF(B264="","",IFERROR(INDEX(Bolos!$J:$J,MATCH(B264,Bolos!$A:$A,0)),"Código não encontrado"))</f>
        <v/>
      </c>
      <c r="H264" s="5" t="str">
        <f aca="false">IF(B264="","",IF(G264="Disponível","Sim","Não"))</f>
        <v/>
      </c>
      <c r="I264" s="5" t="str">
        <f aca="false">IF(OR(B264="",D264=""),"",IFERROR(IF(AND(D264&gt;=INDEX(Bolos!$D:$D,MATCH(B264,Bolos!$A:$A,0)),D264&lt;=INDEX(Bolos!$E:$E,MATCH(B264,Bolos!$A:$A,0))),"OK","Fora do limite"),""))</f>
        <v/>
      </c>
      <c r="K264" s="14"/>
      <c r="L264" s="13" t="str">
        <f aca="false">IF(K264="","",ROUND(K264*(1-'Como usar'!$B$26),2))</f>
        <v/>
      </c>
      <c r="M264" s="5" t="str">
        <f aca="false">IF(B264="","",IF(AND(G264="Inativo",IFERROR(INDEX(Bolos!$O:$O,MATCH(B264,Bolos!$A:$A,0)),"")="Sim",K264&lt;&gt;""),"Sim","Não"))</f>
        <v/>
      </c>
      <c r="N264" s="14"/>
    </row>
    <row r="265" customFormat="false" ht="15" hidden="false" customHeight="true" outlineLevel="0" collapsed="false">
      <c r="E265" s="5" t="str">
        <f aca="false">IF(B265="","",IFERROR(INDEX(Bolos!$B:$B,MATCH(B265,Bolos!$A:$A,0))&amp;IF(C265="",""," — "&amp;C265)&amp;" — "&amp;D265&amp;" andares",""))</f>
        <v/>
      </c>
      <c r="F265" s="14"/>
      <c r="G265" s="5" t="str">
        <f aca="false">IF(B265="","",IFERROR(INDEX(Bolos!$J:$J,MATCH(B265,Bolos!$A:$A,0)),"Código não encontrado"))</f>
        <v/>
      </c>
      <c r="H265" s="5" t="str">
        <f aca="false">IF(B265="","",IF(G265="Disponível","Sim","Não"))</f>
        <v/>
      </c>
      <c r="I265" s="5" t="str">
        <f aca="false">IF(OR(B265="",D265=""),"",IFERROR(IF(AND(D265&gt;=INDEX(Bolos!$D:$D,MATCH(B265,Bolos!$A:$A,0)),D265&lt;=INDEX(Bolos!$E:$E,MATCH(B265,Bolos!$A:$A,0))),"OK","Fora do limite"),""))</f>
        <v/>
      </c>
      <c r="K265" s="14"/>
      <c r="L265" s="13" t="str">
        <f aca="false">IF(K265="","",ROUND(K265*(1-'Como usar'!$B$26),2))</f>
        <v/>
      </c>
      <c r="M265" s="5" t="str">
        <f aca="false">IF(B265="","",IF(AND(G265="Inativo",IFERROR(INDEX(Bolos!$O:$O,MATCH(B265,Bolos!$A:$A,0)),"")="Sim",K265&lt;&gt;""),"Sim","Não"))</f>
        <v/>
      </c>
      <c r="N265" s="14"/>
    </row>
    <row r="266" customFormat="false" ht="15" hidden="false" customHeight="true" outlineLevel="0" collapsed="false">
      <c r="E266" s="5" t="str">
        <f aca="false">IF(B266="","",IFERROR(INDEX(Bolos!$B:$B,MATCH(B266,Bolos!$A:$A,0))&amp;IF(C266="",""," — "&amp;C266)&amp;" — "&amp;D266&amp;" andares",""))</f>
        <v/>
      </c>
      <c r="F266" s="14"/>
      <c r="G266" s="5" t="str">
        <f aca="false">IF(B266="","",IFERROR(INDEX(Bolos!$J:$J,MATCH(B266,Bolos!$A:$A,0)),"Código não encontrado"))</f>
        <v/>
      </c>
      <c r="H266" s="5" t="str">
        <f aca="false">IF(B266="","",IF(G266="Disponível","Sim","Não"))</f>
        <v/>
      </c>
      <c r="I266" s="5" t="str">
        <f aca="false">IF(OR(B266="",D266=""),"",IFERROR(IF(AND(D266&gt;=INDEX(Bolos!$D:$D,MATCH(B266,Bolos!$A:$A,0)),D266&lt;=INDEX(Bolos!$E:$E,MATCH(B266,Bolos!$A:$A,0))),"OK","Fora do limite"),""))</f>
        <v/>
      </c>
      <c r="K266" s="14"/>
      <c r="L266" s="13" t="str">
        <f aca="false">IF(K266="","",ROUND(K266*(1-'Como usar'!$B$26),2))</f>
        <v/>
      </c>
      <c r="M266" s="5" t="str">
        <f aca="false">IF(B266="","",IF(AND(G266="Inativo",IFERROR(INDEX(Bolos!$O:$O,MATCH(B266,Bolos!$A:$A,0)),"")="Sim",K266&lt;&gt;""),"Sim","Não"))</f>
        <v/>
      </c>
      <c r="N266" s="14"/>
    </row>
    <row r="267" customFormat="false" ht="15" hidden="false" customHeight="true" outlineLevel="0" collapsed="false">
      <c r="E267" s="5" t="str">
        <f aca="false">IF(B267="","",IFERROR(INDEX(Bolos!$B:$B,MATCH(B267,Bolos!$A:$A,0))&amp;IF(C267="",""," — "&amp;C267)&amp;" — "&amp;D267&amp;" andares",""))</f>
        <v/>
      </c>
      <c r="F267" s="14"/>
      <c r="G267" s="5" t="str">
        <f aca="false">IF(B267="","",IFERROR(INDEX(Bolos!$J:$J,MATCH(B267,Bolos!$A:$A,0)),"Código não encontrado"))</f>
        <v/>
      </c>
      <c r="H267" s="5" t="str">
        <f aca="false">IF(B267="","",IF(G267="Disponível","Sim","Não"))</f>
        <v/>
      </c>
      <c r="I267" s="5" t="str">
        <f aca="false">IF(OR(B267="",D267=""),"",IFERROR(IF(AND(D267&gt;=INDEX(Bolos!$D:$D,MATCH(B267,Bolos!$A:$A,0)),D267&lt;=INDEX(Bolos!$E:$E,MATCH(B267,Bolos!$A:$A,0))),"OK","Fora do limite"),""))</f>
        <v/>
      </c>
      <c r="K267" s="14"/>
      <c r="L267" s="13" t="str">
        <f aca="false">IF(K267="","",ROUND(K267*(1-'Como usar'!$B$26),2))</f>
        <v/>
      </c>
      <c r="M267" s="5" t="str">
        <f aca="false">IF(B267="","",IF(AND(G267="Inativo",IFERROR(INDEX(Bolos!$O:$O,MATCH(B267,Bolos!$A:$A,0)),"")="Sim",K267&lt;&gt;""),"Sim","Não"))</f>
        <v/>
      </c>
      <c r="N267" s="14"/>
    </row>
    <row r="268" customFormat="false" ht="15" hidden="false" customHeight="true" outlineLevel="0" collapsed="false">
      <c r="E268" s="5" t="str">
        <f aca="false">IF(B268="","",IFERROR(INDEX(Bolos!$B:$B,MATCH(B268,Bolos!$A:$A,0))&amp;IF(C268="",""," — "&amp;C268)&amp;" — "&amp;D268&amp;" andares",""))</f>
        <v/>
      </c>
      <c r="F268" s="14"/>
      <c r="G268" s="5" t="str">
        <f aca="false">IF(B268="","",IFERROR(INDEX(Bolos!$J:$J,MATCH(B268,Bolos!$A:$A,0)),"Código não encontrado"))</f>
        <v/>
      </c>
      <c r="H268" s="5" t="str">
        <f aca="false">IF(B268="","",IF(G268="Disponível","Sim","Não"))</f>
        <v/>
      </c>
      <c r="I268" s="5" t="str">
        <f aca="false">IF(OR(B268="",D268=""),"",IFERROR(IF(AND(D268&gt;=INDEX(Bolos!$D:$D,MATCH(B268,Bolos!$A:$A,0)),D268&lt;=INDEX(Bolos!$E:$E,MATCH(B268,Bolos!$A:$A,0))),"OK","Fora do limite"),""))</f>
        <v/>
      </c>
      <c r="K268" s="14"/>
      <c r="L268" s="13" t="str">
        <f aca="false">IF(K268="","",ROUND(K268*(1-'Como usar'!$B$26),2))</f>
        <v/>
      </c>
      <c r="M268" s="5" t="str">
        <f aca="false">IF(B268="","",IF(AND(G268="Inativo",IFERROR(INDEX(Bolos!$O:$O,MATCH(B268,Bolos!$A:$A,0)),"")="Sim",K268&lt;&gt;""),"Sim","Não"))</f>
        <v/>
      </c>
      <c r="N268" s="14"/>
    </row>
    <row r="269" customFormat="false" ht="15" hidden="false" customHeight="true" outlineLevel="0" collapsed="false">
      <c r="E269" s="5" t="str">
        <f aca="false">IF(B269="","",IFERROR(INDEX(Bolos!$B:$B,MATCH(B269,Bolos!$A:$A,0))&amp;IF(C269="",""," — "&amp;C269)&amp;" — "&amp;D269&amp;" andares",""))</f>
        <v/>
      </c>
      <c r="F269" s="14"/>
      <c r="G269" s="5" t="str">
        <f aca="false">IF(B269="","",IFERROR(INDEX(Bolos!$J:$J,MATCH(B269,Bolos!$A:$A,0)),"Código não encontrado"))</f>
        <v/>
      </c>
      <c r="H269" s="5" t="str">
        <f aca="false">IF(B269="","",IF(G269="Disponível","Sim","Não"))</f>
        <v/>
      </c>
      <c r="I269" s="5" t="str">
        <f aca="false">IF(OR(B269="",D269=""),"",IFERROR(IF(AND(D269&gt;=INDEX(Bolos!$D:$D,MATCH(B269,Bolos!$A:$A,0)),D269&lt;=INDEX(Bolos!$E:$E,MATCH(B269,Bolos!$A:$A,0))),"OK","Fora do limite"),""))</f>
        <v/>
      </c>
      <c r="K269" s="14"/>
      <c r="L269" s="13" t="str">
        <f aca="false">IF(K269="","",ROUND(K269*(1-'Como usar'!$B$26),2))</f>
        <v/>
      </c>
      <c r="M269" s="5" t="str">
        <f aca="false">IF(B269="","",IF(AND(G269="Inativo",IFERROR(INDEX(Bolos!$O:$O,MATCH(B269,Bolos!$A:$A,0)),"")="Sim",K269&lt;&gt;""),"Sim","Não"))</f>
        <v/>
      </c>
      <c r="N269" s="14"/>
    </row>
    <row r="270" customFormat="false" ht="15" hidden="false" customHeight="true" outlineLevel="0" collapsed="false">
      <c r="E270" s="5" t="str">
        <f aca="false">IF(B270="","",IFERROR(INDEX(Bolos!$B:$B,MATCH(B270,Bolos!$A:$A,0))&amp;IF(C270="",""," — "&amp;C270)&amp;" — "&amp;D270&amp;" andares",""))</f>
        <v/>
      </c>
      <c r="F270" s="14"/>
      <c r="G270" s="5" t="str">
        <f aca="false">IF(B270="","",IFERROR(INDEX(Bolos!$J:$J,MATCH(B270,Bolos!$A:$A,0)),"Código não encontrado"))</f>
        <v/>
      </c>
      <c r="H270" s="5" t="str">
        <f aca="false">IF(B270="","",IF(G270="Disponível","Sim","Não"))</f>
        <v/>
      </c>
      <c r="I270" s="5" t="str">
        <f aca="false">IF(OR(B270="",D270=""),"",IFERROR(IF(AND(D270&gt;=INDEX(Bolos!$D:$D,MATCH(B270,Bolos!$A:$A,0)),D270&lt;=INDEX(Bolos!$E:$E,MATCH(B270,Bolos!$A:$A,0))),"OK","Fora do limite"),""))</f>
        <v/>
      </c>
      <c r="K270" s="14"/>
      <c r="L270" s="13" t="str">
        <f aca="false">IF(K270="","",ROUND(K270*(1-'Como usar'!$B$26),2))</f>
        <v/>
      </c>
      <c r="M270" s="5" t="str">
        <f aca="false">IF(B270="","",IF(AND(G270="Inativo",IFERROR(INDEX(Bolos!$O:$O,MATCH(B270,Bolos!$A:$A,0)),"")="Sim",K270&lt;&gt;""),"Sim","Não"))</f>
        <v/>
      </c>
      <c r="N270" s="14"/>
    </row>
    <row r="271" customFormat="false" ht="15" hidden="false" customHeight="true" outlineLevel="0" collapsed="false">
      <c r="E271" s="5" t="str">
        <f aca="false">IF(B271="","",IFERROR(INDEX(Bolos!$B:$B,MATCH(B271,Bolos!$A:$A,0))&amp;IF(C271="",""," — "&amp;C271)&amp;" — "&amp;D271&amp;" andares",""))</f>
        <v/>
      </c>
      <c r="F271" s="14"/>
      <c r="G271" s="5" t="str">
        <f aca="false">IF(B271="","",IFERROR(INDEX(Bolos!$J:$J,MATCH(B271,Bolos!$A:$A,0)),"Código não encontrado"))</f>
        <v/>
      </c>
      <c r="H271" s="5" t="str">
        <f aca="false">IF(B271="","",IF(G271="Disponível","Sim","Não"))</f>
        <v/>
      </c>
      <c r="I271" s="5" t="str">
        <f aca="false">IF(OR(B271="",D271=""),"",IFERROR(IF(AND(D271&gt;=INDEX(Bolos!$D:$D,MATCH(B271,Bolos!$A:$A,0)),D271&lt;=INDEX(Bolos!$E:$E,MATCH(B271,Bolos!$A:$A,0))),"OK","Fora do limite"),""))</f>
        <v/>
      </c>
      <c r="K271" s="14"/>
      <c r="L271" s="13" t="str">
        <f aca="false">IF(K271="","",ROUND(K271*(1-'Como usar'!$B$26),2))</f>
        <v/>
      </c>
      <c r="M271" s="5" t="str">
        <f aca="false">IF(B271="","",IF(AND(G271="Inativo",IFERROR(INDEX(Bolos!$O:$O,MATCH(B271,Bolos!$A:$A,0)),"")="Sim",K271&lt;&gt;""),"Sim","Não"))</f>
        <v/>
      </c>
      <c r="N271" s="14"/>
    </row>
    <row r="272" customFormat="false" ht="15" hidden="false" customHeight="true" outlineLevel="0" collapsed="false">
      <c r="E272" s="5" t="str">
        <f aca="false">IF(B272="","",IFERROR(INDEX(Bolos!$B:$B,MATCH(B272,Bolos!$A:$A,0))&amp;IF(C272="",""," — "&amp;C272)&amp;" — "&amp;D272&amp;" andares",""))</f>
        <v/>
      </c>
      <c r="F272" s="14"/>
      <c r="G272" s="5" t="str">
        <f aca="false">IF(B272="","",IFERROR(INDEX(Bolos!$J:$J,MATCH(B272,Bolos!$A:$A,0)),"Código não encontrado"))</f>
        <v/>
      </c>
      <c r="H272" s="5" t="str">
        <f aca="false">IF(B272="","",IF(G272="Disponível","Sim","Não"))</f>
        <v/>
      </c>
      <c r="I272" s="5" t="str">
        <f aca="false">IF(OR(B272="",D272=""),"",IFERROR(IF(AND(D272&gt;=INDEX(Bolos!$D:$D,MATCH(B272,Bolos!$A:$A,0)),D272&lt;=INDEX(Bolos!$E:$E,MATCH(B272,Bolos!$A:$A,0))),"OK","Fora do limite"),""))</f>
        <v/>
      </c>
      <c r="K272" s="14"/>
      <c r="L272" s="13" t="str">
        <f aca="false">IF(K272="","",ROUND(K272*(1-'Como usar'!$B$26),2))</f>
        <v/>
      </c>
      <c r="M272" s="5" t="str">
        <f aca="false">IF(B272="","",IF(AND(G272="Inativo",IFERROR(INDEX(Bolos!$O:$O,MATCH(B272,Bolos!$A:$A,0)),"")="Sim",K272&lt;&gt;""),"Sim","Não"))</f>
        <v/>
      </c>
      <c r="N272" s="14"/>
    </row>
    <row r="273" customFormat="false" ht="15" hidden="false" customHeight="true" outlineLevel="0" collapsed="false">
      <c r="E273" s="5" t="str">
        <f aca="false">IF(B273="","",IFERROR(INDEX(Bolos!$B:$B,MATCH(B273,Bolos!$A:$A,0))&amp;IF(C273="",""," — "&amp;C273)&amp;" — "&amp;D273&amp;" andares",""))</f>
        <v/>
      </c>
      <c r="F273" s="14"/>
      <c r="G273" s="5" t="str">
        <f aca="false">IF(B273="","",IFERROR(INDEX(Bolos!$J:$J,MATCH(B273,Bolos!$A:$A,0)),"Código não encontrado"))</f>
        <v/>
      </c>
      <c r="H273" s="5" t="str">
        <f aca="false">IF(B273="","",IF(G273="Disponível","Sim","Não"))</f>
        <v/>
      </c>
      <c r="I273" s="5" t="str">
        <f aca="false">IF(OR(B273="",D273=""),"",IFERROR(IF(AND(D273&gt;=INDEX(Bolos!$D:$D,MATCH(B273,Bolos!$A:$A,0)),D273&lt;=INDEX(Bolos!$E:$E,MATCH(B273,Bolos!$A:$A,0))),"OK","Fora do limite"),""))</f>
        <v/>
      </c>
      <c r="K273" s="14"/>
      <c r="L273" s="13" t="str">
        <f aca="false">IF(K273="","",ROUND(K273*(1-'Como usar'!$B$26),2))</f>
        <v/>
      </c>
      <c r="M273" s="5" t="str">
        <f aca="false">IF(B273="","",IF(AND(G273="Inativo",IFERROR(INDEX(Bolos!$O:$O,MATCH(B273,Bolos!$A:$A,0)),"")="Sim",K273&lt;&gt;""),"Sim","Não"))</f>
        <v/>
      </c>
      <c r="N273" s="14"/>
    </row>
    <row r="274" customFormat="false" ht="15" hidden="false" customHeight="true" outlineLevel="0" collapsed="false">
      <c r="E274" s="5" t="str">
        <f aca="false">IF(B274="","",IFERROR(INDEX(Bolos!$B:$B,MATCH(B274,Bolos!$A:$A,0))&amp;IF(C274="",""," — "&amp;C274)&amp;" — "&amp;D274&amp;" andares",""))</f>
        <v/>
      </c>
      <c r="F274" s="14"/>
      <c r="G274" s="5" t="str">
        <f aca="false">IF(B274="","",IFERROR(INDEX(Bolos!$J:$J,MATCH(B274,Bolos!$A:$A,0)),"Código não encontrado"))</f>
        <v/>
      </c>
      <c r="H274" s="5" t="str">
        <f aca="false">IF(B274="","",IF(G274="Disponível","Sim","Não"))</f>
        <v/>
      </c>
      <c r="I274" s="5" t="str">
        <f aca="false">IF(OR(B274="",D274=""),"",IFERROR(IF(AND(D274&gt;=INDEX(Bolos!$D:$D,MATCH(B274,Bolos!$A:$A,0)),D274&lt;=INDEX(Bolos!$E:$E,MATCH(B274,Bolos!$A:$A,0))),"OK","Fora do limite"),""))</f>
        <v/>
      </c>
      <c r="K274" s="14"/>
      <c r="L274" s="13" t="str">
        <f aca="false">IF(K274="","",ROUND(K274*(1-'Como usar'!$B$26),2))</f>
        <v/>
      </c>
      <c r="M274" s="5" t="str">
        <f aca="false">IF(B274="","",IF(AND(G274="Inativo",IFERROR(INDEX(Bolos!$O:$O,MATCH(B274,Bolos!$A:$A,0)),"")="Sim",K274&lt;&gt;""),"Sim","Não"))</f>
        <v/>
      </c>
      <c r="N274" s="14"/>
    </row>
    <row r="275" customFormat="false" ht="15" hidden="false" customHeight="true" outlineLevel="0" collapsed="false">
      <c r="E275" s="5" t="str">
        <f aca="false">IF(B275="","",IFERROR(INDEX(Bolos!$B:$B,MATCH(B275,Bolos!$A:$A,0))&amp;IF(C275="",""," — "&amp;C275)&amp;" — "&amp;D275&amp;" andares",""))</f>
        <v/>
      </c>
      <c r="F275" s="14"/>
      <c r="G275" s="5" t="str">
        <f aca="false">IF(B275="","",IFERROR(INDEX(Bolos!$J:$J,MATCH(B275,Bolos!$A:$A,0)),"Código não encontrado"))</f>
        <v/>
      </c>
      <c r="H275" s="5" t="str">
        <f aca="false">IF(B275="","",IF(G275="Disponível","Sim","Não"))</f>
        <v/>
      </c>
      <c r="I275" s="5" t="str">
        <f aca="false">IF(OR(B275="",D275=""),"",IFERROR(IF(AND(D275&gt;=INDEX(Bolos!$D:$D,MATCH(B275,Bolos!$A:$A,0)),D275&lt;=INDEX(Bolos!$E:$E,MATCH(B275,Bolos!$A:$A,0))),"OK","Fora do limite"),""))</f>
        <v/>
      </c>
      <c r="K275" s="14"/>
      <c r="L275" s="13" t="str">
        <f aca="false">IF(K275="","",ROUND(K275*(1-'Como usar'!$B$26),2))</f>
        <v/>
      </c>
      <c r="M275" s="5" t="str">
        <f aca="false">IF(B275="","",IF(AND(G275="Inativo",IFERROR(INDEX(Bolos!$O:$O,MATCH(B275,Bolos!$A:$A,0)),"")="Sim",K275&lt;&gt;""),"Sim","Não"))</f>
        <v/>
      </c>
      <c r="N275" s="14"/>
    </row>
    <row r="276" customFormat="false" ht="15" hidden="false" customHeight="true" outlineLevel="0" collapsed="false">
      <c r="E276" s="5" t="str">
        <f aca="false">IF(B276="","",IFERROR(INDEX(Bolos!$B:$B,MATCH(B276,Bolos!$A:$A,0))&amp;IF(C276="",""," — "&amp;C276)&amp;" — "&amp;D276&amp;" andares",""))</f>
        <v/>
      </c>
      <c r="F276" s="14"/>
      <c r="G276" s="5" t="str">
        <f aca="false">IF(B276="","",IFERROR(INDEX(Bolos!$J:$J,MATCH(B276,Bolos!$A:$A,0)),"Código não encontrado"))</f>
        <v/>
      </c>
      <c r="H276" s="5" t="str">
        <f aca="false">IF(B276="","",IF(G276="Disponível","Sim","Não"))</f>
        <v/>
      </c>
      <c r="I276" s="5" t="str">
        <f aca="false">IF(OR(B276="",D276=""),"",IFERROR(IF(AND(D276&gt;=INDEX(Bolos!$D:$D,MATCH(B276,Bolos!$A:$A,0)),D276&lt;=INDEX(Bolos!$E:$E,MATCH(B276,Bolos!$A:$A,0))),"OK","Fora do limite"),""))</f>
        <v/>
      </c>
      <c r="K276" s="14"/>
      <c r="L276" s="13" t="str">
        <f aca="false">IF(K276="","",ROUND(K276*(1-'Como usar'!$B$26),2))</f>
        <v/>
      </c>
      <c r="M276" s="5" t="str">
        <f aca="false">IF(B276="","",IF(AND(G276="Inativo",IFERROR(INDEX(Bolos!$O:$O,MATCH(B276,Bolos!$A:$A,0)),"")="Sim",K276&lt;&gt;""),"Sim","Não"))</f>
        <v/>
      </c>
      <c r="N276" s="14"/>
    </row>
    <row r="277" customFormat="false" ht="15" hidden="false" customHeight="true" outlineLevel="0" collapsed="false">
      <c r="E277" s="5" t="str">
        <f aca="false">IF(B277="","",IFERROR(INDEX(Bolos!$B:$B,MATCH(B277,Bolos!$A:$A,0))&amp;IF(C277="",""," — "&amp;C277)&amp;" — "&amp;D277&amp;" andares",""))</f>
        <v/>
      </c>
      <c r="F277" s="14"/>
      <c r="G277" s="5" t="str">
        <f aca="false">IF(B277="","",IFERROR(INDEX(Bolos!$J:$J,MATCH(B277,Bolos!$A:$A,0)),"Código não encontrado"))</f>
        <v/>
      </c>
      <c r="H277" s="5" t="str">
        <f aca="false">IF(B277="","",IF(G277="Disponível","Sim","Não"))</f>
        <v/>
      </c>
      <c r="I277" s="5" t="str">
        <f aca="false">IF(OR(B277="",D277=""),"",IFERROR(IF(AND(D277&gt;=INDEX(Bolos!$D:$D,MATCH(B277,Bolos!$A:$A,0)),D277&lt;=INDEX(Bolos!$E:$E,MATCH(B277,Bolos!$A:$A,0))),"OK","Fora do limite"),""))</f>
        <v/>
      </c>
      <c r="K277" s="14"/>
      <c r="L277" s="13" t="str">
        <f aca="false">IF(K277="","",ROUND(K277*(1-'Como usar'!$B$26),2))</f>
        <v/>
      </c>
      <c r="M277" s="5" t="str">
        <f aca="false">IF(B277="","",IF(AND(G277="Inativo",IFERROR(INDEX(Bolos!$O:$O,MATCH(B277,Bolos!$A:$A,0)),"")="Sim",K277&lt;&gt;""),"Sim","Não"))</f>
        <v/>
      </c>
      <c r="N277" s="14"/>
    </row>
    <row r="278" customFormat="false" ht="15" hidden="false" customHeight="true" outlineLevel="0" collapsed="false">
      <c r="E278" s="5" t="str">
        <f aca="false">IF(B278="","",IFERROR(INDEX(Bolos!$B:$B,MATCH(B278,Bolos!$A:$A,0))&amp;IF(C278="",""," — "&amp;C278)&amp;" — "&amp;D278&amp;" andares",""))</f>
        <v/>
      </c>
      <c r="F278" s="14"/>
      <c r="G278" s="5" t="str">
        <f aca="false">IF(B278="","",IFERROR(INDEX(Bolos!$J:$J,MATCH(B278,Bolos!$A:$A,0)),"Código não encontrado"))</f>
        <v/>
      </c>
      <c r="H278" s="5" t="str">
        <f aca="false">IF(B278="","",IF(G278="Disponível","Sim","Não"))</f>
        <v/>
      </c>
      <c r="I278" s="5" t="str">
        <f aca="false">IF(OR(B278="",D278=""),"",IFERROR(IF(AND(D278&gt;=INDEX(Bolos!$D:$D,MATCH(B278,Bolos!$A:$A,0)),D278&lt;=INDEX(Bolos!$E:$E,MATCH(B278,Bolos!$A:$A,0))),"OK","Fora do limite"),""))</f>
        <v/>
      </c>
      <c r="K278" s="14"/>
      <c r="L278" s="13" t="str">
        <f aca="false">IF(K278="","",ROUND(K278*(1-'Como usar'!$B$26),2))</f>
        <v/>
      </c>
      <c r="M278" s="5" t="str">
        <f aca="false">IF(B278="","",IF(AND(G278="Inativo",IFERROR(INDEX(Bolos!$O:$O,MATCH(B278,Bolos!$A:$A,0)),"")="Sim",K278&lt;&gt;""),"Sim","Não"))</f>
        <v/>
      </c>
      <c r="N278" s="14"/>
    </row>
    <row r="279" customFormat="false" ht="15" hidden="false" customHeight="true" outlineLevel="0" collapsed="false">
      <c r="E279" s="5" t="str">
        <f aca="false">IF(B279="","",IFERROR(INDEX(Bolos!$B:$B,MATCH(B279,Bolos!$A:$A,0))&amp;IF(C279="",""," — "&amp;C279)&amp;" — "&amp;D279&amp;" andares",""))</f>
        <v/>
      </c>
      <c r="F279" s="14"/>
      <c r="G279" s="5" t="str">
        <f aca="false">IF(B279="","",IFERROR(INDEX(Bolos!$J:$J,MATCH(B279,Bolos!$A:$A,0)),"Código não encontrado"))</f>
        <v/>
      </c>
      <c r="H279" s="5" t="str">
        <f aca="false">IF(B279="","",IF(G279="Disponível","Sim","Não"))</f>
        <v/>
      </c>
      <c r="I279" s="5" t="str">
        <f aca="false">IF(OR(B279="",D279=""),"",IFERROR(IF(AND(D279&gt;=INDEX(Bolos!$D:$D,MATCH(B279,Bolos!$A:$A,0)),D279&lt;=INDEX(Bolos!$E:$E,MATCH(B279,Bolos!$A:$A,0))),"OK","Fora do limite"),""))</f>
        <v/>
      </c>
      <c r="K279" s="14"/>
      <c r="L279" s="13" t="str">
        <f aca="false">IF(K279="","",ROUND(K279*(1-'Como usar'!$B$26),2))</f>
        <v/>
      </c>
      <c r="M279" s="5" t="str">
        <f aca="false">IF(B279="","",IF(AND(G279="Inativo",IFERROR(INDEX(Bolos!$O:$O,MATCH(B279,Bolos!$A:$A,0)),"")="Sim",K279&lt;&gt;""),"Sim","Não"))</f>
        <v/>
      </c>
      <c r="N279" s="14"/>
    </row>
    <row r="280" customFormat="false" ht="15" hidden="false" customHeight="true" outlineLevel="0" collapsed="false">
      <c r="E280" s="5" t="str">
        <f aca="false">IF(B280="","",IFERROR(INDEX(Bolos!$B:$B,MATCH(B280,Bolos!$A:$A,0))&amp;IF(C280="",""," — "&amp;C280)&amp;" — "&amp;D280&amp;" andares",""))</f>
        <v/>
      </c>
      <c r="F280" s="14"/>
      <c r="G280" s="5" t="str">
        <f aca="false">IF(B280="","",IFERROR(INDEX(Bolos!$J:$J,MATCH(B280,Bolos!$A:$A,0)),"Código não encontrado"))</f>
        <v/>
      </c>
      <c r="H280" s="5" t="str">
        <f aca="false">IF(B280="","",IF(G280="Disponível","Sim","Não"))</f>
        <v/>
      </c>
      <c r="I280" s="5" t="str">
        <f aca="false">IF(OR(B280="",D280=""),"",IFERROR(IF(AND(D280&gt;=INDEX(Bolos!$D:$D,MATCH(B280,Bolos!$A:$A,0)),D280&lt;=INDEX(Bolos!$E:$E,MATCH(B280,Bolos!$A:$A,0))),"OK","Fora do limite"),""))</f>
        <v/>
      </c>
      <c r="K280" s="14"/>
      <c r="L280" s="13" t="str">
        <f aca="false">IF(K280="","",ROUND(K280*(1-'Como usar'!$B$26),2))</f>
        <v/>
      </c>
      <c r="M280" s="5" t="str">
        <f aca="false">IF(B280="","",IF(AND(G280="Inativo",IFERROR(INDEX(Bolos!$O:$O,MATCH(B280,Bolos!$A:$A,0)),"")="Sim",K280&lt;&gt;""),"Sim","Não"))</f>
        <v/>
      </c>
      <c r="N280" s="14"/>
    </row>
    <row r="281" customFormat="false" ht="15" hidden="false" customHeight="true" outlineLevel="0" collapsed="false">
      <c r="E281" s="5" t="str">
        <f aca="false">IF(B281="","",IFERROR(INDEX(Bolos!$B:$B,MATCH(B281,Bolos!$A:$A,0))&amp;IF(C281="",""," — "&amp;C281)&amp;" — "&amp;D281&amp;" andares",""))</f>
        <v/>
      </c>
      <c r="F281" s="14"/>
      <c r="G281" s="5" t="str">
        <f aca="false">IF(B281="","",IFERROR(INDEX(Bolos!$J:$J,MATCH(B281,Bolos!$A:$A,0)),"Código não encontrado"))</f>
        <v/>
      </c>
      <c r="H281" s="5" t="str">
        <f aca="false">IF(B281="","",IF(G281="Disponível","Sim","Não"))</f>
        <v/>
      </c>
      <c r="I281" s="5" t="str">
        <f aca="false">IF(OR(B281="",D281=""),"",IFERROR(IF(AND(D281&gt;=INDEX(Bolos!$D:$D,MATCH(B281,Bolos!$A:$A,0)),D281&lt;=INDEX(Bolos!$E:$E,MATCH(B281,Bolos!$A:$A,0))),"OK","Fora do limite"),""))</f>
        <v/>
      </c>
      <c r="K281" s="14"/>
      <c r="L281" s="13" t="str">
        <f aca="false">IF(K281="","",ROUND(K281*(1-'Como usar'!$B$26),2))</f>
        <v/>
      </c>
      <c r="M281" s="5" t="str">
        <f aca="false">IF(B281="","",IF(AND(G281="Inativo",IFERROR(INDEX(Bolos!$O:$O,MATCH(B281,Bolos!$A:$A,0)),"")="Sim",K281&lt;&gt;""),"Sim","Não"))</f>
        <v/>
      </c>
      <c r="N281" s="14"/>
    </row>
    <row r="282" customFormat="false" ht="15" hidden="false" customHeight="true" outlineLevel="0" collapsed="false">
      <c r="E282" s="5" t="str">
        <f aca="false">IF(B282="","",IFERROR(INDEX(Bolos!$B:$B,MATCH(B282,Bolos!$A:$A,0))&amp;IF(C282="",""," — "&amp;C282)&amp;" — "&amp;D282&amp;" andares",""))</f>
        <v/>
      </c>
      <c r="F282" s="14"/>
      <c r="G282" s="5" t="str">
        <f aca="false">IF(B282="","",IFERROR(INDEX(Bolos!$J:$J,MATCH(B282,Bolos!$A:$A,0)),"Código não encontrado"))</f>
        <v/>
      </c>
      <c r="H282" s="5" t="str">
        <f aca="false">IF(B282="","",IF(G282="Disponível","Sim","Não"))</f>
        <v/>
      </c>
      <c r="I282" s="5" t="str">
        <f aca="false">IF(OR(B282="",D282=""),"",IFERROR(IF(AND(D282&gt;=INDEX(Bolos!$D:$D,MATCH(B282,Bolos!$A:$A,0)),D282&lt;=INDEX(Bolos!$E:$E,MATCH(B282,Bolos!$A:$A,0))),"OK","Fora do limite"),""))</f>
        <v/>
      </c>
      <c r="K282" s="14"/>
      <c r="L282" s="13" t="str">
        <f aca="false">IF(K282="","",ROUND(K282*(1-'Como usar'!$B$26),2))</f>
        <v/>
      </c>
      <c r="M282" s="5" t="str">
        <f aca="false">IF(B282="","",IF(AND(G282="Inativo",IFERROR(INDEX(Bolos!$O:$O,MATCH(B282,Bolos!$A:$A,0)),"")="Sim",K282&lt;&gt;""),"Sim","Não"))</f>
        <v/>
      </c>
      <c r="N282" s="14"/>
    </row>
    <row r="283" customFormat="false" ht="15" hidden="false" customHeight="true" outlineLevel="0" collapsed="false">
      <c r="E283" s="5" t="str">
        <f aca="false">IF(B283="","",IFERROR(INDEX(Bolos!$B:$B,MATCH(B283,Bolos!$A:$A,0))&amp;IF(C283="",""," — "&amp;C283)&amp;" — "&amp;D283&amp;" andares",""))</f>
        <v/>
      </c>
      <c r="F283" s="14"/>
      <c r="G283" s="5" t="str">
        <f aca="false">IF(B283="","",IFERROR(INDEX(Bolos!$J:$J,MATCH(B283,Bolos!$A:$A,0)),"Código não encontrado"))</f>
        <v/>
      </c>
      <c r="H283" s="5" t="str">
        <f aca="false">IF(B283="","",IF(G283="Disponível","Sim","Não"))</f>
        <v/>
      </c>
      <c r="I283" s="5" t="str">
        <f aca="false">IF(OR(B283="",D283=""),"",IFERROR(IF(AND(D283&gt;=INDEX(Bolos!$D:$D,MATCH(B283,Bolos!$A:$A,0)),D283&lt;=INDEX(Bolos!$E:$E,MATCH(B283,Bolos!$A:$A,0))),"OK","Fora do limite"),""))</f>
        <v/>
      </c>
      <c r="K283" s="14"/>
      <c r="L283" s="13" t="str">
        <f aca="false">IF(K283="","",ROUND(K283*(1-'Como usar'!$B$26),2))</f>
        <v/>
      </c>
      <c r="M283" s="5" t="str">
        <f aca="false">IF(B283="","",IF(AND(G283="Inativo",IFERROR(INDEX(Bolos!$O:$O,MATCH(B283,Bolos!$A:$A,0)),"")="Sim",K283&lt;&gt;""),"Sim","Não"))</f>
        <v/>
      </c>
      <c r="N283" s="14"/>
    </row>
    <row r="284" customFormat="false" ht="15" hidden="false" customHeight="true" outlineLevel="0" collapsed="false">
      <c r="E284" s="5" t="str">
        <f aca="false">IF(B284="","",IFERROR(INDEX(Bolos!$B:$B,MATCH(B284,Bolos!$A:$A,0))&amp;IF(C284="",""," — "&amp;C284)&amp;" — "&amp;D284&amp;" andares",""))</f>
        <v/>
      </c>
      <c r="F284" s="14"/>
      <c r="G284" s="5" t="str">
        <f aca="false">IF(B284="","",IFERROR(INDEX(Bolos!$J:$J,MATCH(B284,Bolos!$A:$A,0)),"Código não encontrado"))</f>
        <v/>
      </c>
      <c r="H284" s="5" t="str">
        <f aca="false">IF(B284="","",IF(G284="Disponível","Sim","Não"))</f>
        <v/>
      </c>
      <c r="I284" s="5" t="str">
        <f aca="false">IF(OR(B284="",D284=""),"",IFERROR(IF(AND(D284&gt;=INDEX(Bolos!$D:$D,MATCH(B284,Bolos!$A:$A,0)),D284&lt;=INDEX(Bolos!$E:$E,MATCH(B284,Bolos!$A:$A,0))),"OK","Fora do limite"),""))</f>
        <v/>
      </c>
      <c r="K284" s="14"/>
      <c r="L284" s="13" t="str">
        <f aca="false">IF(K284="","",ROUND(K284*(1-'Como usar'!$B$26),2))</f>
        <v/>
      </c>
      <c r="M284" s="5" t="str">
        <f aca="false">IF(B284="","",IF(AND(G284="Inativo",IFERROR(INDEX(Bolos!$O:$O,MATCH(B284,Bolos!$A:$A,0)),"")="Sim",K284&lt;&gt;""),"Sim","Não"))</f>
        <v/>
      </c>
      <c r="N284" s="14"/>
    </row>
    <row r="285" customFormat="false" ht="15" hidden="false" customHeight="true" outlineLevel="0" collapsed="false">
      <c r="E285" s="5" t="str">
        <f aca="false">IF(B285="","",IFERROR(INDEX(Bolos!$B:$B,MATCH(B285,Bolos!$A:$A,0))&amp;IF(C285="",""," — "&amp;C285)&amp;" — "&amp;D285&amp;" andares",""))</f>
        <v/>
      </c>
      <c r="F285" s="14"/>
      <c r="G285" s="5" t="str">
        <f aca="false">IF(B285="","",IFERROR(INDEX(Bolos!$J:$J,MATCH(B285,Bolos!$A:$A,0)),"Código não encontrado"))</f>
        <v/>
      </c>
      <c r="H285" s="5" t="str">
        <f aca="false">IF(B285="","",IF(G285="Disponível","Sim","Não"))</f>
        <v/>
      </c>
      <c r="I285" s="5" t="str">
        <f aca="false">IF(OR(B285="",D285=""),"",IFERROR(IF(AND(D285&gt;=INDEX(Bolos!$D:$D,MATCH(B285,Bolos!$A:$A,0)),D285&lt;=INDEX(Bolos!$E:$E,MATCH(B285,Bolos!$A:$A,0))),"OK","Fora do limite"),""))</f>
        <v/>
      </c>
      <c r="K285" s="14"/>
      <c r="L285" s="13" t="str">
        <f aca="false">IF(K285="","",ROUND(K285*(1-'Como usar'!$B$26),2))</f>
        <v/>
      </c>
      <c r="M285" s="5" t="str">
        <f aca="false">IF(B285="","",IF(AND(G285="Inativo",IFERROR(INDEX(Bolos!$O:$O,MATCH(B285,Bolos!$A:$A,0)),"")="Sim",K285&lt;&gt;""),"Sim","Não"))</f>
        <v/>
      </c>
      <c r="N285" s="14"/>
    </row>
    <row r="286" customFormat="false" ht="15" hidden="false" customHeight="true" outlineLevel="0" collapsed="false">
      <c r="E286" s="5" t="str">
        <f aca="false">IF(B286="","",IFERROR(INDEX(Bolos!$B:$B,MATCH(B286,Bolos!$A:$A,0))&amp;IF(C286="",""," — "&amp;C286)&amp;" — "&amp;D286&amp;" andares",""))</f>
        <v/>
      </c>
      <c r="F286" s="14"/>
      <c r="G286" s="5" t="str">
        <f aca="false">IF(B286="","",IFERROR(INDEX(Bolos!$J:$J,MATCH(B286,Bolos!$A:$A,0)),"Código não encontrado"))</f>
        <v/>
      </c>
      <c r="H286" s="5" t="str">
        <f aca="false">IF(B286="","",IF(G286="Disponível","Sim","Não"))</f>
        <v/>
      </c>
      <c r="I286" s="5" t="str">
        <f aca="false">IF(OR(B286="",D286=""),"",IFERROR(IF(AND(D286&gt;=INDEX(Bolos!$D:$D,MATCH(B286,Bolos!$A:$A,0)),D286&lt;=INDEX(Bolos!$E:$E,MATCH(B286,Bolos!$A:$A,0))),"OK","Fora do limite"),""))</f>
        <v/>
      </c>
      <c r="K286" s="14"/>
      <c r="L286" s="13" t="str">
        <f aca="false">IF(K286="","",ROUND(K286*(1-'Como usar'!$B$26),2))</f>
        <v/>
      </c>
      <c r="M286" s="5" t="str">
        <f aca="false">IF(B286="","",IF(AND(G286="Inativo",IFERROR(INDEX(Bolos!$O:$O,MATCH(B286,Bolos!$A:$A,0)),"")="Sim",K286&lt;&gt;""),"Sim","Não"))</f>
        <v/>
      </c>
      <c r="N286" s="14"/>
    </row>
    <row r="287" customFormat="false" ht="15" hidden="false" customHeight="true" outlineLevel="0" collapsed="false">
      <c r="E287" s="5" t="str">
        <f aca="false">IF(B287="","",IFERROR(INDEX(Bolos!$B:$B,MATCH(B287,Bolos!$A:$A,0))&amp;IF(C287="",""," — "&amp;C287)&amp;" — "&amp;D287&amp;" andares",""))</f>
        <v/>
      </c>
      <c r="F287" s="14"/>
      <c r="G287" s="5" t="str">
        <f aca="false">IF(B287="","",IFERROR(INDEX(Bolos!$J:$J,MATCH(B287,Bolos!$A:$A,0)),"Código não encontrado"))</f>
        <v/>
      </c>
      <c r="H287" s="5" t="str">
        <f aca="false">IF(B287="","",IF(G287="Disponível","Sim","Não"))</f>
        <v/>
      </c>
      <c r="I287" s="5" t="str">
        <f aca="false">IF(OR(B287="",D287=""),"",IFERROR(IF(AND(D287&gt;=INDEX(Bolos!$D:$D,MATCH(B287,Bolos!$A:$A,0)),D287&lt;=INDEX(Bolos!$E:$E,MATCH(B287,Bolos!$A:$A,0))),"OK","Fora do limite"),""))</f>
        <v/>
      </c>
      <c r="K287" s="14"/>
      <c r="L287" s="13" t="str">
        <f aca="false">IF(K287="","",ROUND(K287*(1-'Como usar'!$B$26),2))</f>
        <v/>
      </c>
      <c r="M287" s="5" t="str">
        <f aca="false">IF(B287="","",IF(AND(G287="Inativo",IFERROR(INDEX(Bolos!$O:$O,MATCH(B287,Bolos!$A:$A,0)),"")="Sim",K287&lt;&gt;""),"Sim","Não"))</f>
        <v/>
      </c>
      <c r="N287" s="14"/>
    </row>
    <row r="288" customFormat="false" ht="15" hidden="false" customHeight="true" outlineLevel="0" collapsed="false">
      <c r="E288" s="5" t="str">
        <f aca="false">IF(B288="","",IFERROR(INDEX(Bolos!$B:$B,MATCH(B288,Bolos!$A:$A,0))&amp;IF(C288="",""," — "&amp;C288)&amp;" — "&amp;D288&amp;" andares",""))</f>
        <v/>
      </c>
      <c r="F288" s="14"/>
      <c r="G288" s="5" t="str">
        <f aca="false">IF(B288="","",IFERROR(INDEX(Bolos!$J:$J,MATCH(B288,Bolos!$A:$A,0)),"Código não encontrado"))</f>
        <v/>
      </c>
      <c r="H288" s="5" t="str">
        <f aca="false">IF(B288="","",IF(G288="Disponível","Sim","Não"))</f>
        <v/>
      </c>
      <c r="I288" s="5" t="str">
        <f aca="false">IF(OR(B288="",D288=""),"",IFERROR(IF(AND(D288&gt;=INDEX(Bolos!$D:$D,MATCH(B288,Bolos!$A:$A,0)),D288&lt;=INDEX(Bolos!$E:$E,MATCH(B288,Bolos!$A:$A,0))),"OK","Fora do limite"),""))</f>
        <v/>
      </c>
      <c r="K288" s="14"/>
      <c r="L288" s="13" t="str">
        <f aca="false">IF(K288="","",ROUND(K288*(1-'Como usar'!$B$26),2))</f>
        <v/>
      </c>
      <c r="M288" s="5" t="str">
        <f aca="false">IF(B288="","",IF(AND(G288="Inativo",IFERROR(INDEX(Bolos!$O:$O,MATCH(B288,Bolos!$A:$A,0)),"")="Sim",K288&lt;&gt;""),"Sim","Não"))</f>
        <v/>
      </c>
      <c r="N288" s="14"/>
    </row>
    <row r="289" customFormat="false" ht="15" hidden="false" customHeight="true" outlineLevel="0" collapsed="false">
      <c r="E289" s="5" t="str">
        <f aca="false">IF(B289="","",IFERROR(INDEX(Bolos!$B:$B,MATCH(B289,Bolos!$A:$A,0))&amp;IF(C289="",""," — "&amp;C289)&amp;" — "&amp;D289&amp;" andares",""))</f>
        <v/>
      </c>
      <c r="F289" s="14"/>
      <c r="G289" s="5" t="str">
        <f aca="false">IF(B289="","",IFERROR(INDEX(Bolos!$J:$J,MATCH(B289,Bolos!$A:$A,0)),"Código não encontrado"))</f>
        <v/>
      </c>
      <c r="H289" s="5" t="str">
        <f aca="false">IF(B289="","",IF(G289="Disponível","Sim","Não"))</f>
        <v/>
      </c>
      <c r="I289" s="5" t="str">
        <f aca="false">IF(OR(B289="",D289=""),"",IFERROR(IF(AND(D289&gt;=INDEX(Bolos!$D:$D,MATCH(B289,Bolos!$A:$A,0)),D289&lt;=INDEX(Bolos!$E:$E,MATCH(B289,Bolos!$A:$A,0))),"OK","Fora do limite"),""))</f>
        <v/>
      </c>
      <c r="K289" s="14"/>
      <c r="L289" s="13" t="str">
        <f aca="false">IF(K289="","",ROUND(K289*(1-'Como usar'!$B$26),2))</f>
        <v/>
      </c>
      <c r="M289" s="5" t="str">
        <f aca="false">IF(B289="","",IF(AND(G289="Inativo",IFERROR(INDEX(Bolos!$O:$O,MATCH(B289,Bolos!$A:$A,0)),"")="Sim",K289&lt;&gt;""),"Sim","Não"))</f>
        <v/>
      </c>
      <c r="N289" s="14"/>
    </row>
    <row r="290" customFormat="false" ht="15" hidden="false" customHeight="true" outlineLevel="0" collapsed="false">
      <c r="E290" s="5" t="str">
        <f aca="false">IF(B290="","",IFERROR(INDEX(Bolos!$B:$B,MATCH(B290,Bolos!$A:$A,0))&amp;IF(C290="",""," — "&amp;C290)&amp;" — "&amp;D290&amp;" andares",""))</f>
        <v/>
      </c>
      <c r="F290" s="14"/>
      <c r="G290" s="5" t="str">
        <f aca="false">IF(B290="","",IFERROR(INDEX(Bolos!$J:$J,MATCH(B290,Bolos!$A:$A,0)),"Código não encontrado"))</f>
        <v/>
      </c>
      <c r="H290" s="5" t="str">
        <f aca="false">IF(B290="","",IF(G290="Disponível","Sim","Não"))</f>
        <v/>
      </c>
      <c r="I290" s="5" t="str">
        <f aca="false">IF(OR(B290="",D290=""),"",IFERROR(IF(AND(D290&gt;=INDEX(Bolos!$D:$D,MATCH(B290,Bolos!$A:$A,0)),D290&lt;=INDEX(Bolos!$E:$E,MATCH(B290,Bolos!$A:$A,0))),"OK","Fora do limite"),""))</f>
        <v/>
      </c>
      <c r="K290" s="14"/>
      <c r="L290" s="13" t="str">
        <f aca="false">IF(K290="","",ROUND(K290*(1-'Como usar'!$B$26),2))</f>
        <v/>
      </c>
      <c r="M290" s="5" t="str">
        <f aca="false">IF(B290="","",IF(AND(G290="Inativo",IFERROR(INDEX(Bolos!$O:$O,MATCH(B290,Bolos!$A:$A,0)),"")="Sim",K290&lt;&gt;""),"Sim","Não"))</f>
        <v/>
      </c>
      <c r="N290" s="14"/>
    </row>
    <row r="291" customFormat="false" ht="15" hidden="false" customHeight="true" outlineLevel="0" collapsed="false">
      <c r="E291" s="5" t="str">
        <f aca="false">IF(B291="","",IFERROR(INDEX(Bolos!$B:$B,MATCH(B291,Bolos!$A:$A,0))&amp;IF(C291="",""," — "&amp;C291)&amp;" — "&amp;D291&amp;" andares",""))</f>
        <v/>
      </c>
      <c r="F291" s="14"/>
      <c r="G291" s="5" t="str">
        <f aca="false">IF(B291="","",IFERROR(INDEX(Bolos!$J:$J,MATCH(B291,Bolos!$A:$A,0)),"Código não encontrado"))</f>
        <v/>
      </c>
      <c r="H291" s="5" t="str">
        <f aca="false">IF(B291="","",IF(G291="Disponível","Sim","Não"))</f>
        <v/>
      </c>
      <c r="I291" s="5" t="str">
        <f aca="false">IF(OR(B291="",D291=""),"",IFERROR(IF(AND(D291&gt;=INDEX(Bolos!$D:$D,MATCH(B291,Bolos!$A:$A,0)),D291&lt;=INDEX(Bolos!$E:$E,MATCH(B291,Bolos!$A:$A,0))),"OK","Fora do limite"),""))</f>
        <v/>
      </c>
      <c r="K291" s="14"/>
      <c r="L291" s="13" t="str">
        <f aca="false">IF(K291="","",ROUND(K291*(1-'Como usar'!$B$26),2))</f>
        <v/>
      </c>
      <c r="M291" s="5" t="str">
        <f aca="false">IF(B291="","",IF(AND(G291="Inativo",IFERROR(INDEX(Bolos!$O:$O,MATCH(B291,Bolos!$A:$A,0)),"")="Sim",K291&lt;&gt;""),"Sim","Não"))</f>
        <v/>
      </c>
      <c r="N291" s="14"/>
    </row>
    <row r="292" customFormat="false" ht="15" hidden="false" customHeight="true" outlineLevel="0" collapsed="false">
      <c r="E292" s="5" t="str">
        <f aca="false">IF(B292="","",IFERROR(INDEX(Bolos!$B:$B,MATCH(B292,Bolos!$A:$A,0))&amp;IF(C292="",""," — "&amp;C292)&amp;" — "&amp;D292&amp;" andares",""))</f>
        <v/>
      </c>
      <c r="F292" s="14"/>
      <c r="G292" s="5" t="str">
        <f aca="false">IF(B292="","",IFERROR(INDEX(Bolos!$J:$J,MATCH(B292,Bolos!$A:$A,0)),"Código não encontrado"))</f>
        <v/>
      </c>
      <c r="H292" s="5" t="str">
        <f aca="false">IF(B292="","",IF(G292="Disponível","Sim","Não"))</f>
        <v/>
      </c>
      <c r="I292" s="5" t="str">
        <f aca="false">IF(OR(B292="",D292=""),"",IFERROR(IF(AND(D292&gt;=INDEX(Bolos!$D:$D,MATCH(B292,Bolos!$A:$A,0)),D292&lt;=INDEX(Bolos!$E:$E,MATCH(B292,Bolos!$A:$A,0))),"OK","Fora do limite"),""))</f>
        <v/>
      </c>
      <c r="K292" s="14"/>
      <c r="L292" s="13" t="str">
        <f aca="false">IF(K292="","",ROUND(K292*(1-'Como usar'!$B$26),2))</f>
        <v/>
      </c>
      <c r="M292" s="5" t="str">
        <f aca="false">IF(B292="","",IF(AND(G292="Inativo",IFERROR(INDEX(Bolos!$O:$O,MATCH(B292,Bolos!$A:$A,0)),"")="Sim",K292&lt;&gt;""),"Sim","Não"))</f>
        <v/>
      </c>
      <c r="N292" s="14"/>
    </row>
    <row r="293" customFormat="false" ht="15" hidden="false" customHeight="true" outlineLevel="0" collapsed="false">
      <c r="E293" s="5" t="str">
        <f aca="false">IF(B293="","",IFERROR(INDEX(Bolos!$B:$B,MATCH(B293,Bolos!$A:$A,0))&amp;IF(C293="",""," — "&amp;C293)&amp;" — "&amp;D293&amp;" andares",""))</f>
        <v/>
      </c>
      <c r="F293" s="14"/>
      <c r="G293" s="5" t="str">
        <f aca="false">IF(B293="","",IFERROR(INDEX(Bolos!$J:$J,MATCH(B293,Bolos!$A:$A,0)),"Código não encontrado"))</f>
        <v/>
      </c>
      <c r="H293" s="5" t="str">
        <f aca="false">IF(B293="","",IF(G293="Disponível","Sim","Não"))</f>
        <v/>
      </c>
      <c r="I293" s="5" t="str">
        <f aca="false">IF(OR(B293="",D293=""),"",IFERROR(IF(AND(D293&gt;=INDEX(Bolos!$D:$D,MATCH(B293,Bolos!$A:$A,0)),D293&lt;=INDEX(Bolos!$E:$E,MATCH(B293,Bolos!$A:$A,0))),"OK","Fora do limite"),""))</f>
        <v/>
      </c>
      <c r="K293" s="14"/>
      <c r="L293" s="13" t="str">
        <f aca="false">IF(K293="","",ROUND(K293*(1-'Como usar'!$B$26),2))</f>
        <v/>
      </c>
      <c r="M293" s="5" t="str">
        <f aca="false">IF(B293="","",IF(AND(G293="Inativo",IFERROR(INDEX(Bolos!$O:$O,MATCH(B293,Bolos!$A:$A,0)),"")="Sim",K293&lt;&gt;""),"Sim","Não"))</f>
        <v/>
      </c>
      <c r="N293" s="14"/>
    </row>
    <row r="294" customFormat="false" ht="15" hidden="false" customHeight="true" outlineLevel="0" collapsed="false">
      <c r="E294" s="5" t="str">
        <f aca="false">IF(B294="","",IFERROR(INDEX(Bolos!$B:$B,MATCH(B294,Bolos!$A:$A,0))&amp;IF(C294="",""," — "&amp;C294)&amp;" — "&amp;D294&amp;" andares",""))</f>
        <v/>
      </c>
      <c r="F294" s="14"/>
      <c r="G294" s="5" t="str">
        <f aca="false">IF(B294="","",IFERROR(INDEX(Bolos!$J:$J,MATCH(B294,Bolos!$A:$A,0)),"Código não encontrado"))</f>
        <v/>
      </c>
      <c r="H294" s="5" t="str">
        <f aca="false">IF(B294="","",IF(G294="Disponível","Sim","Não"))</f>
        <v/>
      </c>
      <c r="I294" s="5" t="str">
        <f aca="false">IF(OR(B294="",D294=""),"",IFERROR(IF(AND(D294&gt;=INDEX(Bolos!$D:$D,MATCH(B294,Bolos!$A:$A,0)),D294&lt;=INDEX(Bolos!$E:$E,MATCH(B294,Bolos!$A:$A,0))),"OK","Fora do limite"),""))</f>
        <v/>
      </c>
      <c r="K294" s="14"/>
      <c r="L294" s="13" t="str">
        <f aca="false">IF(K294="","",ROUND(K294*(1-'Como usar'!$B$26),2))</f>
        <v/>
      </c>
      <c r="M294" s="5" t="str">
        <f aca="false">IF(B294="","",IF(AND(G294="Inativo",IFERROR(INDEX(Bolos!$O:$O,MATCH(B294,Bolos!$A:$A,0)),"")="Sim",K294&lt;&gt;""),"Sim","Não"))</f>
        <v/>
      </c>
      <c r="N294" s="14"/>
    </row>
    <row r="295" customFormat="false" ht="15" hidden="false" customHeight="true" outlineLevel="0" collapsed="false">
      <c r="E295" s="5" t="str">
        <f aca="false">IF(B295="","",IFERROR(INDEX(Bolos!$B:$B,MATCH(B295,Bolos!$A:$A,0))&amp;IF(C295="",""," — "&amp;C295)&amp;" — "&amp;D295&amp;" andares",""))</f>
        <v/>
      </c>
      <c r="F295" s="14"/>
      <c r="G295" s="5" t="str">
        <f aca="false">IF(B295="","",IFERROR(INDEX(Bolos!$J:$J,MATCH(B295,Bolos!$A:$A,0)),"Código não encontrado"))</f>
        <v/>
      </c>
      <c r="H295" s="5" t="str">
        <f aca="false">IF(B295="","",IF(G295="Disponível","Sim","Não"))</f>
        <v/>
      </c>
      <c r="I295" s="5" t="str">
        <f aca="false">IF(OR(B295="",D295=""),"",IFERROR(IF(AND(D295&gt;=INDEX(Bolos!$D:$D,MATCH(B295,Bolos!$A:$A,0)),D295&lt;=INDEX(Bolos!$E:$E,MATCH(B295,Bolos!$A:$A,0))),"OK","Fora do limite"),""))</f>
        <v/>
      </c>
      <c r="K295" s="14"/>
      <c r="L295" s="13" t="str">
        <f aca="false">IF(K295="","",ROUND(K295*(1-'Como usar'!$B$26),2))</f>
        <v/>
      </c>
      <c r="M295" s="5" t="str">
        <f aca="false">IF(B295="","",IF(AND(G295="Inativo",IFERROR(INDEX(Bolos!$O:$O,MATCH(B295,Bolos!$A:$A,0)),"")="Sim",K295&lt;&gt;""),"Sim","Não"))</f>
        <v/>
      </c>
      <c r="N295" s="14"/>
    </row>
    <row r="296" customFormat="false" ht="15" hidden="false" customHeight="true" outlineLevel="0" collapsed="false">
      <c r="E296" s="5" t="str">
        <f aca="false">IF(B296="","",IFERROR(INDEX(Bolos!$B:$B,MATCH(B296,Bolos!$A:$A,0))&amp;IF(C296="",""," — "&amp;C296)&amp;" — "&amp;D296&amp;" andares",""))</f>
        <v/>
      </c>
      <c r="F296" s="14"/>
      <c r="G296" s="5" t="str">
        <f aca="false">IF(B296="","",IFERROR(INDEX(Bolos!$J:$J,MATCH(B296,Bolos!$A:$A,0)),"Código não encontrado"))</f>
        <v/>
      </c>
      <c r="H296" s="5" t="str">
        <f aca="false">IF(B296="","",IF(G296="Disponível","Sim","Não"))</f>
        <v/>
      </c>
      <c r="I296" s="5" t="str">
        <f aca="false">IF(OR(B296="",D296=""),"",IFERROR(IF(AND(D296&gt;=INDEX(Bolos!$D:$D,MATCH(B296,Bolos!$A:$A,0)),D296&lt;=INDEX(Bolos!$E:$E,MATCH(B296,Bolos!$A:$A,0))),"OK","Fora do limite"),""))</f>
        <v/>
      </c>
      <c r="K296" s="14"/>
      <c r="L296" s="13" t="str">
        <f aca="false">IF(K296="","",ROUND(K296*(1-'Como usar'!$B$26),2))</f>
        <v/>
      </c>
      <c r="M296" s="5" t="str">
        <f aca="false">IF(B296="","",IF(AND(G296="Inativo",IFERROR(INDEX(Bolos!$O:$O,MATCH(B296,Bolos!$A:$A,0)),"")="Sim",K296&lt;&gt;""),"Sim","Não"))</f>
        <v/>
      </c>
      <c r="N296" s="14"/>
    </row>
    <row r="297" customFormat="false" ht="15" hidden="false" customHeight="true" outlineLevel="0" collapsed="false">
      <c r="E297" s="5" t="str">
        <f aca="false">IF(B297="","",IFERROR(INDEX(Bolos!$B:$B,MATCH(B297,Bolos!$A:$A,0))&amp;IF(C297="",""," — "&amp;C297)&amp;" — "&amp;D297&amp;" andares",""))</f>
        <v/>
      </c>
      <c r="F297" s="14"/>
      <c r="G297" s="5" t="str">
        <f aca="false">IF(B297="","",IFERROR(INDEX(Bolos!$J:$J,MATCH(B297,Bolos!$A:$A,0)),"Código não encontrado"))</f>
        <v/>
      </c>
      <c r="H297" s="5" t="str">
        <f aca="false">IF(B297="","",IF(G297="Disponível","Sim","Não"))</f>
        <v/>
      </c>
      <c r="I297" s="5" t="str">
        <f aca="false">IF(OR(B297="",D297=""),"",IFERROR(IF(AND(D297&gt;=INDEX(Bolos!$D:$D,MATCH(B297,Bolos!$A:$A,0)),D297&lt;=INDEX(Bolos!$E:$E,MATCH(B297,Bolos!$A:$A,0))),"OK","Fora do limite"),""))</f>
        <v/>
      </c>
      <c r="K297" s="14"/>
      <c r="L297" s="13" t="str">
        <f aca="false">IF(K297="","",ROUND(K297*(1-'Como usar'!$B$26),2))</f>
        <v/>
      </c>
      <c r="M297" s="5" t="str">
        <f aca="false">IF(B297="","",IF(AND(G297="Inativo",IFERROR(INDEX(Bolos!$O:$O,MATCH(B297,Bolos!$A:$A,0)),"")="Sim",K297&lt;&gt;""),"Sim","Não"))</f>
        <v/>
      </c>
      <c r="N297" s="14"/>
    </row>
    <row r="298" customFormat="false" ht="15" hidden="false" customHeight="true" outlineLevel="0" collapsed="false">
      <c r="E298" s="5" t="str">
        <f aca="false">IF(B298="","",IFERROR(INDEX(Bolos!$B:$B,MATCH(B298,Bolos!$A:$A,0))&amp;IF(C298="",""," — "&amp;C298)&amp;" — "&amp;D298&amp;" andares",""))</f>
        <v/>
      </c>
      <c r="F298" s="14"/>
      <c r="G298" s="5" t="str">
        <f aca="false">IF(B298="","",IFERROR(INDEX(Bolos!$J:$J,MATCH(B298,Bolos!$A:$A,0)),"Código não encontrado"))</f>
        <v/>
      </c>
      <c r="H298" s="5" t="str">
        <f aca="false">IF(B298="","",IF(G298="Disponível","Sim","Não"))</f>
        <v/>
      </c>
      <c r="I298" s="5" t="str">
        <f aca="false">IF(OR(B298="",D298=""),"",IFERROR(IF(AND(D298&gt;=INDEX(Bolos!$D:$D,MATCH(B298,Bolos!$A:$A,0)),D298&lt;=INDEX(Bolos!$E:$E,MATCH(B298,Bolos!$A:$A,0))),"OK","Fora do limite"),""))</f>
        <v/>
      </c>
      <c r="K298" s="14"/>
      <c r="L298" s="13" t="str">
        <f aca="false">IF(K298="","",ROUND(K298*(1-'Como usar'!$B$26),2))</f>
        <v/>
      </c>
      <c r="M298" s="5" t="str">
        <f aca="false">IF(B298="","",IF(AND(G298="Inativo",IFERROR(INDEX(Bolos!$O:$O,MATCH(B298,Bolos!$A:$A,0)),"")="Sim",K298&lt;&gt;""),"Sim","Não"))</f>
        <v/>
      </c>
      <c r="N298" s="14"/>
    </row>
    <row r="299" customFormat="false" ht="15" hidden="false" customHeight="true" outlineLevel="0" collapsed="false">
      <c r="E299" s="5" t="str">
        <f aca="false">IF(B299="","",IFERROR(INDEX(Bolos!$B:$B,MATCH(B299,Bolos!$A:$A,0))&amp;IF(C299="",""," — "&amp;C299)&amp;" — "&amp;D299&amp;" andares",""))</f>
        <v/>
      </c>
      <c r="F299" s="14"/>
      <c r="G299" s="5" t="str">
        <f aca="false">IF(B299="","",IFERROR(INDEX(Bolos!$J:$J,MATCH(B299,Bolos!$A:$A,0)),"Código não encontrado"))</f>
        <v/>
      </c>
      <c r="H299" s="5" t="str">
        <f aca="false">IF(B299="","",IF(G299="Disponível","Sim","Não"))</f>
        <v/>
      </c>
      <c r="I299" s="5" t="str">
        <f aca="false">IF(OR(B299="",D299=""),"",IFERROR(IF(AND(D299&gt;=INDEX(Bolos!$D:$D,MATCH(B299,Bolos!$A:$A,0)),D299&lt;=INDEX(Bolos!$E:$E,MATCH(B299,Bolos!$A:$A,0))),"OK","Fora do limite"),""))</f>
        <v/>
      </c>
      <c r="K299" s="14"/>
      <c r="L299" s="13" t="str">
        <f aca="false">IF(K299="","",ROUND(K299*(1-'Como usar'!$B$26),2))</f>
        <v/>
      </c>
      <c r="M299" s="5" t="str">
        <f aca="false">IF(B299="","",IF(AND(G299="Inativo",IFERROR(INDEX(Bolos!$O:$O,MATCH(B299,Bolos!$A:$A,0)),"")="Sim",K299&lt;&gt;""),"Sim","Não"))</f>
        <v/>
      </c>
      <c r="N299" s="14"/>
    </row>
    <row r="300" customFormat="false" ht="15" hidden="false" customHeight="true" outlineLevel="0" collapsed="false">
      <c r="E300" s="5" t="str">
        <f aca="false">IF(B300="","",IFERROR(INDEX(Bolos!$B:$B,MATCH(B300,Bolos!$A:$A,0))&amp;IF(C300="",""," — "&amp;C300)&amp;" — "&amp;D300&amp;" andares",""))</f>
        <v/>
      </c>
      <c r="F300" s="14"/>
      <c r="G300" s="5" t="str">
        <f aca="false">IF(B300="","",IFERROR(INDEX(Bolos!$J:$J,MATCH(B300,Bolos!$A:$A,0)),"Código não encontrado"))</f>
        <v/>
      </c>
      <c r="H300" s="5" t="str">
        <f aca="false">IF(B300="","",IF(G300="Disponível","Sim","Não"))</f>
        <v/>
      </c>
      <c r="I300" s="5" t="str">
        <f aca="false">IF(OR(B300="",D300=""),"",IFERROR(IF(AND(D300&gt;=INDEX(Bolos!$D:$D,MATCH(B300,Bolos!$A:$A,0)),D300&lt;=INDEX(Bolos!$E:$E,MATCH(B300,Bolos!$A:$A,0))),"OK","Fora do limite"),""))</f>
        <v/>
      </c>
      <c r="K300" s="14"/>
      <c r="L300" s="13" t="str">
        <f aca="false">IF(K300="","",ROUND(K300*(1-'Como usar'!$B$26),2))</f>
        <v/>
      </c>
      <c r="M300" s="5" t="str">
        <f aca="false">IF(B300="","",IF(AND(G300="Inativo",IFERROR(INDEX(Bolos!$O:$O,MATCH(B300,Bolos!$A:$A,0)),"")="Sim",K300&lt;&gt;""),"Sim","Não"))</f>
        <v/>
      </c>
      <c r="N300" s="14"/>
    </row>
  </sheetData>
  <autoFilter ref="A1:N300"/>
  <conditionalFormatting sqref="A2:N300">
    <cfRule type="expression" priority="2" aboveAverage="0" equalAverage="0" bottom="0" percent="0" rank="0" text="" dxfId="7">
      <formula>$G2="Disponível"</formula>
    </cfRule>
    <cfRule type="expression" priority="3" aboveAverage="0" equalAverage="0" bottom="0" percent="0" rank="0" text="" dxfId="8">
      <formula>$G2="Alugado"</formula>
    </cfRule>
    <cfRule type="expression" priority="4" aboveAverage="0" equalAverage="0" bottom="0" percent="0" rank="0" text="" dxfId="9">
      <formula>$G2="Em manutenção"</formula>
    </cfRule>
    <cfRule type="expression" priority="5" aboveAverage="0" equalAverage="0" bottom="0" percent="0" rank="0" text="" dxfId="10">
      <formula>$G2="Inativo"</formula>
    </cfRule>
  </conditionalFormatting>
  <dataValidations count="1">
    <dataValidation allowBlank="true" error="Use um código que exista na aba Bolos" errorStyle="stop" operator="between" showDropDown="false" showErrorMessage="true" showInputMessage="false" sqref="B2:B300" type="list">
      <formula1>Bolos!$A$2:$A$300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26"/>
    <col collapsed="false" customWidth="true" hidden="false" outlineLevel="0" max="8" min="8" style="1" width="16"/>
    <col collapsed="false" customWidth="true" hidden="false" outlineLevel="0" max="9" min="9" style="1" width="22"/>
  </cols>
  <sheetData>
    <row r="1" customFormat="false" ht="33.75" hidden="false" customHeight="true" outlineLevel="0" collapsed="false">
      <c r="A1" s="9" t="s">
        <v>75</v>
      </c>
      <c r="B1" s="9" t="s">
        <v>29</v>
      </c>
      <c r="C1" s="9" t="s">
        <v>76</v>
      </c>
      <c r="D1" s="9" t="s">
        <v>58</v>
      </c>
      <c r="E1" s="9" t="s">
        <v>37</v>
      </c>
      <c r="F1" s="9" t="s">
        <v>38</v>
      </c>
      <c r="G1" s="9" t="s">
        <v>39</v>
      </c>
      <c r="H1" s="9" t="s">
        <v>60</v>
      </c>
      <c r="I1" s="9" t="s">
        <v>40</v>
      </c>
    </row>
    <row r="2" customFormat="false" ht="15" hidden="false" customHeight="true" outlineLevel="0" collapsed="false">
      <c r="A2" s="7" t="s">
        <v>77</v>
      </c>
      <c r="B2" s="7" t="s">
        <v>78</v>
      </c>
      <c r="C2" s="7" t="s">
        <v>79</v>
      </c>
      <c r="D2" s="12" t="n">
        <v>30</v>
      </c>
      <c r="E2" s="7" t="s">
        <v>17</v>
      </c>
      <c r="F2" s="10"/>
      <c r="G2" s="7"/>
      <c r="H2" s="5" t="str">
        <f aca="false">IF(A2="","",IF(E2="Disponível","Sim","Não"))</f>
        <v>Sim</v>
      </c>
    </row>
    <row r="3" customFormat="false" ht="15" hidden="false" customHeight="true" outlineLevel="0" collapsed="false">
      <c r="A3" s="7" t="s">
        <v>80</v>
      </c>
      <c r="B3" s="7" t="s">
        <v>81</v>
      </c>
      <c r="C3" s="7" t="s">
        <v>82</v>
      </c>
      <c r="D3" s="12" t="n">
        <v>25</v>
      </c>
      <c r="E3" s="7" t="s">
        <v>18</v>
      </c>
      <c r="F3" s="10" t="n">
        <v>46320</v>
      </c>
      <c r="G3" s="7"/>
      <c r="H3" s="5" t="str">
        <f aca="false">IF(A3="","",IF(E3="Disponível","Sim","Não"))</f>
        <v>Não</v>
      </c>
    </row>
    <row r="4" customFormat="false" ht="15" hidden="false" customHeight="true" outlineLevel="0" collapsed="false">
      <c r="D4" s="14"/>
      <c r="F4" s="11"/>
      <c r="H4" s="5" t="str">
        <f aca="false">IF(A4="","",IF(E4="Disponível","Sim","Não"))</f>
        <v/>
      </c>
    </row>
    <row r="5" customFormat="false" ht="15" hidden="false" customHeight="true" outlineLevel="0" collapsed="false">
      <c r="D5" s="14"/>
      <c r="F5" s="11"/>
      <c r="H5" s="5" t="str">
        <f aca="false">IF(A5="","",IF(E5="Disponível","Sim","Não"))</f>
        <v/>
      </c>
    </row>
    <row r="6" customFormat="false" ht="15" hidden="false" customHeight="true" outlineLevel="0" collapsed="false">
      <c r="D6" s="14"/>
      <c r="F6" s="11"/>
      <c r="H6" s="5" t="str">
        <f aca="false">IF(A6="","",IF(E6="Disponível","Sim","Não"))</f>
        <v/>
      </c>
    </row>
    <row r="7" customFormat="false" ht="15" hidden="false" customHeight="true" outlineLevel="0" collapsed="false">
      <c r="D7" s="14"/>
      <c r="F7" s="11"/>
      <c r="H7" s="5" t="str">
        <f aca="false">IF(A7="","",IF(E7="Disponível","Sim","Não"))</f>
        <v/>
      </c>
    </row>
    <row r="8" customFormat="false" ht="15" hidden="false" customHeight="true" outlineLevel="0" collapsed="false">
      <c r="D8" s="14"/>
      <c r="F8" s="11"/>
      <c r="H8" s="5" t="str">
        <f aca="false">IF(A8="","",IF(E8="Disponível","Sim","Não"))</f>
        <v/>
      </c>
    </row>
    <row r="9" customFormat="false" ht="15" hidden="false" customHeight="true" outlineLevel="0" collapsed="false">
      <c r="D9" s="14"/>
      <c r="F9" s="11"/>
      <c r="H9" s="5" t="str">
        <f aca="false">IF(A9="","",IF(E9="Disponível","Sim","Não"))</f>
        <v/>
      </c>
    </row>
    <row r="10" customFormat="false" ht="15" hidden="false" customHeight="true" outlineLevel="0" collapsed="false">
      <c r="D10" s="14"/>
      <c r="F10" s="11"/>
      <c r="H10" s="5" t="str">
        <f aca="false">IF(A10="","",IF(E10="Disponível","Sim","Não"))</f>
        <v/>
      </c>
    </row>
    <row r="11" customFormat="false" ht="15" hidden="false" customHeight="true" outlineLevel="0" collapsed="false">
      <c r="D11" s="14"/>
      <c r="F11" s="11"/>
      <c r="H11" s="5" t="str">
        <f aca="false">IF(A11="","",IF(E11="Disponível","Sim","Não"))</f>
        <v/>
      </c>
    </row>
    <row r="12" customFormat="false" ht="15" hidden="false" customHeight="true" outlineLevel="0" collapsed="false">
      <c r="D12" s="14"/>
      <c r="F12" s="11"/>
      <c r="H12" s="5" t="str">
        <f aca="false">IF(A12="","",IF(E12="Disponível","Sim","Não"))</f>
        <v/>
      </c>
    </row>
    <row r="13" customFormat="false" ht="15" hidden="false" customHeight="true" outlineLevel="0" collapsed="false">
      <c r="D13" s="14"/>
      <c r="F13" s="11"/>
      <c r="H13" s="5" t="str">
        <f aca="false">IF(A13="","",IF(E13="Disponível","Sim","Não"))</f>
        <v/>
      </c>
    </row>
    <row r="14" customFormat="false" ht="15" hidden="false" customHeight="true" outlineLevel="0" collapsed="false">
      <c r="D14" s="14"/>
      <c r="F14" s="11"/>
      <c r="H14" s="5" t="str">
        <f aca="false">IF(A14="","",IF(E14="Disponível","Sim","Não"))</f>
        <v/>
      </c>
    </row>
    <row r="15" customFormat="false" ht="15" hidden="false" customHeight="true" outlineLevel="0" collapsed="false">
      <c r="D15" s="14"/>
      <c r="F15" s="11"/>
      <c r="H15" s="5" t="str">
        <f aca="false">IF(A15="","",IF(E15="Disponível","Sim","Não"))</f>
        <v/>
      </c>
    </row>
    <row r="16" customFormat="false" ht="15" hidden="false" customHeight="true" outlineLevel="0" collapsed="false">
      <c r="D16" s="14"/>
      <c r="F16" s="11"/>
      <c r="H16" s="5" t="str">
        <f aca="false">IF(A16="","",IF(E16="Disponível","Sim","Não"))</f>
        <v/>
      </c>
    </row>
    <row r="17" customFormat="false" ht="15" hidden="false" customHeight="true" outlineLevel="0" collapsed="false">
      <c r="D17" s="14"/>
      <c r="F17" s="11"/>
      <c r="H17" s="5" t="str">
        <f aca="false">IF(A17="","",IF(E17="Disponível","Sim","Não"))</f>
        <v/>
      </c>
    </row>
    <row r="18" customFormat="false" ht="15" hidden="false" customHeight="true" outlineLevel="0" collapsed="false">
      <c r="D18" s="14"/>
      <c r="F18" s="11"/>
      <c r="H18" s="5" t="str">
        <f aca="false">IF(A18="","",IF(E18="Disponível","Sim","Não"))</f>
        <v/>
      </c>
    </row>
    <row r="19" customFormat="false" ht="15" hidden="false" customHeight="true" outlineLevel="0" collapsed="false">
      <c r="D19" s="14"/>
      <c r="F19" s="11"/>
      <c r="H19" s="5" t="str">
        <f aca="false">IF(A19="","",IF(E19="Disponível","Sim","Não"))</f>
        <v/>
      </c>
    </row>
    <row r="20" customFormat="false" ht="15" hidden="false" customHeight="true" outlineLevel="0" collapsed="false">
      <c r="D20" s="14"/>
      <c r="F20" s="11"/>
      <c r="H20" s="5" t="str">
        <f aca="false">IF(A20="","",IF(E20="Disponível","Sim","Não"))</f>
        <v/>
      </c>
    </row>
    <row r="21" customFormat="false" ht="15" hidden="false" customHeight="true" outlineLevel="0" collapsed="false">
      <c r="D21" s="14"/>
      <c r="F21" s="11"/>
      <c r="H21" s="5" t="str">
        <f aca="false">IF(A21="","",IF(E21="Disponível","Sim","Não"))</f>
        <v/>
      </c>
    </row>
    <row r="22" customFormat="false" ht="15" hidden="false" customHeight="true" outlineLevel="0" collapsed="false">
      <c r="D22" s="14"/>
      <c r="F22" s="11"/>
      <c r="H22" s="5" t="str">
        <f aca="false">IF(A22="","",IF(E22="Disponível","Sim","Não"))</f>
        <v/>
      </c>
    </row>
    <row r="23" customFormat="false" ht="15" hidden="false" customHeight="true" outlineLevel="0" collapsed="false">
      <c r="D23" s="14"/>
      <c r="F23" s="11"/>
      <c r="H23" s="5" t="str">
        <f aca="false">IF(A23="","",IF(E23="Disponível","Sim","Não"))</f>
        <v/>
      </c>
    </row>
    <row r="24" customFormat="false" ht="15" hidden="false" customHeight="true" outlineLevel="0" collapsed="false">
      <c r="D24" s="14"/>
      <c r="F24" s="11"/>
      <c r="H24" s="5" t="str">
        <f aca="false">IF(A24="","",IF(E24="Disponível","Sim","Não"))</f>
        <v/>
      </c>
    </row>
    <row r="25" customFormat="false" ht="15" hidden="false" customHeight="true" outlineLevel="0" collapsed="false">
      <c r="D25" s="14"/>
      <c r="F25" s="11"/>
      <c r="H25" s="5" t="str">
        <f aca="false">IF(A25="","",IF(E25="Disponível","Sim","Não"))</f>
        <v/>
      </c>
    </row>
    <row r="26" customFormat="false" ht="15" hidden="false" customHeight="true" outlineLevel="0" collapsed="false">
      <c r="D26" s="14"/>
      <c r="F26" s="11"/>
      <c r="H26" s="5" t="str">
        <f aca="false">IF(A26="","",IF(E26="Disponível","Sim","Não"))</f>
        <v/>
      </c>
    </row>
    <row r="27" customFormat="false" ht="15" hidden="false" customHeight="true" outlineLevel="0" collapsed="false">
      <c r="D27" s="14"/>
      <c r="F27" s="11"/>
      <c r="H27" s="5" t="str">
        <f aca="false">IF(A27="","",IF(E27="Disponível","Sim","Não"))</f>
        <v/>
      </c>
    </row>
    <row r="28" customFormat="false" ht="15" hidden="false" customHeight="true" outlineLevel="0" collapsed="false">
      <c r="D28" s="14"/>
      <c r="F28" s="11"/>
      <c r="H28" s="5" t="str">
        <f aca="false">IF(A28="","",IF(E28="Disponível","Sim","Não"))</f>
        <v/>
      </c>
    </row>
    <row r="29" customFormat="false" ht="15" hidden="false" customHeight="true" outlineLevel="0" collapsed="false">
      <c r="D29" s="14"/>
      <c r="F29" s="11"/>
      <c r="H29" s="5" t="str">
        <f aca="false">IF(A29="","",IF(E29="Disponível","Sim","Não"))</f>
        <v/>
      </c>
    </row>
    <row r="30" customFormat="false" ht="15" hidden="false" customHeight="true" outlineLevel="0" collapsed="false">
      <c r="D30" s="14"/>
      <c r="F30" s="11"/>
      <c r="H30" s="5" t="str">
        <f aca="false">IF(A30="","",IF(E30="Disponível","Sim","Não"))</f>
        <v/>
      </c>
    </row>
    <row r="31" customFormat="false" ht="15" hidden="false" customHeight="true" outlineLevel="0" collapsed="false">
      <c r="D31" s="14"/>
      <c r="F31" s="11"/>
      <c r="H31" s="5" t="str">
        <f aca="false">IF(A31="","",IF(E31="Disponível","Sim","Não"))</f>
        <v/>
      </c>
    </row>
    <row r="32" customFormat="false" ht="15" hidden="false" customHeight="true" outlineLevel="0" collapsed="false">
      <c r="D32" s="14"/>
      <c r="F32" s="11"/>
      <c r="H32" s="5" t="str">
        <f aca="false">IF(A32="","",IF(E32="Disponível","Sim","Não"))</f>
        <v/>
      </c>
    </row>
    <row r="33" customFormat="false" ht="15" hidden="false" customHeight="true" outlineLevel="0" collapsed="false">
      <c r="D33" s="14"/>
      <c r="F33" s="11"/>
      <c r="H33" s="5" t="str">
        <f aca="false">IF(A33="","",IF(E33="Disponível","Sim","Não"))</f>
        <v/>
      </c>
    </row>
    <row r="34" customFormat="false" ht="15" hidden="false" customHeight="true" outlineLevel="0" collapsed="false">
      <c r="D34" s="14"/>
      <c r="F34" s="11"/>
      <c r="H34" s="5" t="str">
        <f aca="false">IF(A34="","",IF(E34="Disponível","Sim","Não"))</f>
        <v/>
      </c>
    </row>
    <row r="35" customFormat="false" ht="15" hidden="false" customHeight="true" outlineLevel="0" collapsed="false">
      <c r="D35" s="14"/>
      <c r="F35" s="11"/>
      <c r="H35" s="5" t="str">
        <f aca="false">IF(A35="","",IF(E35="Disponível","Sim","Não"))</f>
        <v/>
      </c>
    </row>
    <row r="36" customFormat="false" ht="15" hidden="false" customHeight="true" outlineLevel="0" collapsed="false">
      <c r="D36" s="14"/>
      <c r="F36" s="11"/>
      <c r="H36" s="5" t="str">
        <f aca="false">IF(A36="","",IF(E36="Disponível","Sim","Não"))</f>
        <v/>
      </c>
    </row>
    <row r="37" customFormat="false" ht="15" hidden="false" customHeight="true" outlineLevel="0" collapsed="false">
      <c r="D37" s="14"/>
      <c r="F37" s="11"/>
      <c r="H37" s="5" t="str">
        <f aca="false">IF(A37="","",IF(E37="Disponível","Sim","Não"))</f>
        <v/>
      </c>
    </row>
    <row r="38" customFormat="false" ht="15" hidden="false" customHeight="true" outlineLevel="0" collapsed="false">
      <c r="D38" s="14"/>
      <c r="F38" s="11"/>
      <c r="H38" s="5" t="str">
        <f aca="false">IF(A38="","",IF(E38="Disponível","Sim","Não"))</f>
        <v/>
      </c>
    </row>
    <row r="39" customFormat="false" ht="15" hidden="false" customHeight="true" outlineLevel="0" collapsed="false">
      <c r="D39" s="14"/>
      <c r="F39" s="11"/>
      <c r="H39" s="5" t="str">
        <f aca="false">IF(A39="","",IF(E39="Disponível","Sim","Não"))</f>
        <v/>
      </c>
    </row>
    <row r="40" customFormat="false" ht="15" hidden="false" customHeight="true" outlineLevel="0" collapsed="false">
      <c r="D40" s="14"/>
      <c r="F40" s="11"/>
      <c r="H40" s="5" t="str">
        <f aca="false">IF(A40="","",IF(E40="Disponível","Sim","Não"))</f>
        <v/>
      </c>
    </row>
    <row r="41" customFormat="false" ht="15" hidden="false" customHeight="true" outlineLevel="0" collapsed="false">
      <c r="D41" s="14"/>
      <c r="F41" s="11"/>
      <c r="H41" s="5" t="str">
        <f aca="false">IF(A41="","",IF(E41="Disponível","Sim","Não"))</f>
        <v/>
      </c>
    </row>
    <row r="42" customFormat="false" ht="15" hidden="false" customHeight="true" outlineLevel="0" collapsed="false">
      <c r="D42" s="14"/>
      <c r="F42" s="11"/>
      <c r="H42" s="5" t="str">
        <f aca="false">IF(A42="","",IF(E42="Disponível","Sim","Não"))</f>
        <v/>
      </c>
    </row>
    <row r="43" customFormat="false" ht="15" hidden="false" customHeight="true" outlineLevel="0" collapsed="false">
      <c r="D43" s="14"/>
      <c r="F43" s="11"/>
      <c r="H43" s="5" t="str">
        <f aca="false">IF(A43="","",IF(E43="Disponível","Sim","Não"))</f>
        <v/>
      </c>
    </row>
    <row r="44" customFormat="false" ht="15" hidden="false" customHeight="true" outlineLevel="0" collapsed="false">
      <c r="D44" s="14"/>
      <c r="F44" s="11"/>
      <c r="H44" s="5" t="str">
        <f aca="false">IF(A44="","",IF(E44="Disponível","Sim","Não"))</f>
        <v/>
      </c>
    </row>
    <row r="45" customFormat="false" ht="15" hidden="false" customHeight="true" outlineLevel="0" collapsed="false">
      <c r="D45" s="14"/>
      <c r="F45" s="11"/>
      <c r="H45" s="5" t="str">
        <f aca="false">IF(A45="","",IF(E45="Disponível","Sim","Não"))</f>
        <v/>
      </c>
    </row>
    <row r="46" customFormat="false" ht="15" hidden="false" customHeight="true" outlineLevel="0" collapsed="false">
      <c r="D46" s="14"/>
      <c r="F46" s="11"/>
      <c r="H46" s="5" t="str">
        <f aca="false">IF(A46="","",IF(E46="Disponível","Sim","Não"))</f>
        <v/>
      </c>
    </row>
    <row r="47" customFormat="false" ht="15" hidden="false" customHeight="true" outlineLevel="0" collapsed="false">
      <c r="D47" s="14"/>
      <c r="F47" s="11"/>
      <c r="H47" s="5" t="str">
        <f aca="false">IF(A47="","",IF(E47="Disponível","Sim","Não"))</f>
        <v/>
      </c>
    </row>
    <row r="48" customFormat="false" ht="15" hidden="false" customHeight="true" outlineLevel="0" collapsed="false">
      <c r="D48" s="14"/>
      <c r="F48" s="11"/>
      <c r="H48" s="5" t="str">
        <f aca="false">IF(A48="","",IF(E48="Disponível","Sim","Não"))</f>
        <v/>
      </c>
    </row>
    <row r="49" customFormat="false" ht="15" hidden="false" customHeight="true" outlineLevel="0" collapsed="false">
      <c r="D49" s="14"/>
      <c r="F49" s="11"/>
      <c r="H49" s="5" t="str">
        <f aca="false">IF(A49="","",IF(E49="Disponível","Sim","Não"))</f>
        <v/>
      </c>
    </row>
    <row r="50" customFormat="false" ht="15" hidden="false" customHeight="true" outlineLevel="0" collapsed="false">
      <c r="D50" s="14"/>
      <c r="F50" s="11"/>
      <c r="H50" s="5" t="str">
        <f aca="false">IF(A50="","",IF(E50="Disponível","Sim","Não"))</f>
        <v/>
      </c>
    </row>
    <row r="51" customFormat="false" ht="15" hidden="false" customHeight="true" outlineLevel="0" collapsed="false">
      <c r="D51" s="14"/>
      <c r="F51" s="11"/>
      <c r="H51" s="5" t="str">
        <f aca="false">IF(A51="","",IF(E51="Disponível","Sim","Não"))</f>
        <v/>
      </c>
    </row>
    <row r="52" customFormat="false" ht="15" hidden="false" customHeight="true" outlineLevel="0" collapsed="false">
      <c r="D52" s="14"/>
      <c r="F52" s="11"/>
      <c r="H52" s="5" t="str">
        <f aca="false">IF(A52="","",IF(E52="Disponível","Sim","Não"))</f>
        <v/>
      </c>
    </row>
    <row r="53" customFormat="false" ht="15" hidden="false" customHeight="true" outlineLevel="0" collapsed="false">
      <c r="D53" s="14"/>
      <c r="F53" s="11"/>
      <c r="H53" s="5" t="str">
        <f aca="false">IF(A53="","",IF(E53="Disponível","Sim","Não"))</f>
        <v/>
      </c>
    </row>
    <row r="54" customFormat="false" ht="15" hidden="false" customHeight="true" outlineLevel="0" collapsed="false">
      <c r="D54" s="14"/>
      <c r="F54" s="11"/>
      <c r="H54" s="5" t="str">
        <f aca="false">IF(A54="","",IF(E54="Disponível","Sim","Não"))</f>
        <v/>
      </c>
    </row>
    <row r="55" customFormat="false" ht="15" hidden="false" customHeight="true" outlineLevel="0" collapsed="false">
      <c r="D55" s="14"/>
      <c r="F55" s="11"/>
      <c r="H55" s="5" t="str">
        <f aca="false">IF(A55="","",IF(E55="Disponível","Sim","Não"))</f>
        <v/>
      </c>
    </row>
    <row r="56" customFormat="false" ht="15" hidden="false" customHeight="true" outlineLevel="0" collapsed="false">
      <c r="D56" s="14"/>
      <c r="F56" s="11"/>
      <c r="H56" s="5" t="str">
        <f aca="false">IF(A56="","",IF(E56="Disponível","Sim","Não"))</f>
        <v/>
      </c>
    </row>
    <row r="57" customFormat="false" ht="15" hidden="false" customHeight="true" outlineLevel="0" collapsed="false">
      <c r="D57" s="14"/>
      <c r="F57" s="11"/>
      <c r="H57" s="5" t="str">
        <f aca="false">IF(A57="","",IF(E57="Disponível","Sim","Não"))</f>
        <v/>
      </c>
    </row>
    <row r="58" customFormat="false" ht="15" hidden="false" customHeight="true" outlineLevel="0" collapsed="false">
      <c r="D58" s="14"/>
      <c r="F58" s="11"/>
      <c r="H58" s="5" t="str">
        <f aca="false">IF(A58="","",IF(E58="Disponível","Sim","Não"))</f>
        <v/>
      </c>
    </row>
    <row r="59" customFormat="false" ht="15" hidden="false" customHeight="true" outlineLevel="0" collapsed="false">
      <c r="D59" s="14"/>
      <c r="F59" s="11"/>
      <c r="H59" s="5" t="str">
        <f aca="false">IF(A59="","",IF(E59="Disponível","Sim","Não"))</f>
        <v/>
      </c>
    </row>
    <row r="60" customFormat="false" ht="15" hidden="false" customHeight="true" outlineLevel="0" collapsed="false">
      <c r="D60" s="14"/>
      <c r="F60" s="11"/>
      <c r="H60" s="5" t="str">
        <f aca="false">IF(A60="","",IF(E60="Disponível","Sim","Não"))</f>
        <v/>
      </c>
    </row>
    <row r="61" customFormat="false" ht="15" hidden="false" customHeight="true" outlineLevel="0" collapsed="false">
      <c r="D61" s="14"/>
      <c r="F61" s="11"/>
      <c r="H61" s="5" t="str">
        <f aca="false">IF(A61="","",IF(E61="Disponível","Sim","Não"))</f>
        <v/>
      </c>
    </row>
    <row r="62" customFormat="false" ht="15" hidden="false" customHeight="true" outlineLevel="0" collapsed="false">
      <c r="D62" s="14"/>
      <c r="F62" s="11"/>
      <c r="H62" s="5" t="str">
        <f aca="false">IF(A62="","",IF(E62="Disponível","Sim","Não"))</f>
        <v/>
      </c>
    </row>
    <row r="63" customFormat="false" ht="15" hidden="false" customHeight="true" outlineLevel="0" collapsed="false">
      <c r="D63" s="14"/>
      <c r="F63" s="11"/>
      <c r="H63" s="5" t="str">
        <f aca="false">IF(A63="","",IF(E63="Disponível","Sim","Não"))</f>
        <v/>
      </c>
    </row>
    <row r="64" customFormat="false" ht="15" hidden="false" customHeight="true" outlineLevel="0" collapsed="false">
      <c r="D64" s="14"/>
      <c r="F64" s="11"/>
      <c r="H64" s="5" t="str">
        <f aca="false">IF(A64="","",IF(E64="Disponível","Sim","Não"))</f>
        <v/>
      </c>
    </row>
    <row r="65" customFormat="false" ht="15" hidden="false" customHeight="true" outlineLevel="0" collapsed="false">
      <c r="D65" s="14"/>
      <c r="F65" s="11"/>
      <c r="H65" s="5" t="str">
        <f aca="false">IF(A65="","",IF(E65="Disponível","Sim","Não"))</f>
        <v/>
      </c>
    </row>
    <row r="66" customFormat="false" ht="15" hidden="false" customHeight="true" outlineLevel="0" collapsed="false">
      <c r="D66" s="14"/>
      <c r="F66" s="11"/>
      <c r="H66" s="5" t="str">
        <f aca="false">IF(A66="","",IF(E66="Disponível","Sim","Não"))</f>
        <v/>
      </c>
    </row>
    <row r="67" customFormat="false" ht="15" hidden="false" customHeight="true" outlineLevel="0" collapsed="false">
      <c r="D67" s="14"/>
      <c r="F67" s="11"/>
      <c r="H67" s="5" t="str">
        <f aca="false">IF(A67="","",IF(E67="Disponível","Sim","Não"))</f>
        <v/>
      </c>
    </row>
    <row r="68" customFormat="false" ht="15" hidden="false" customHeight="true" outlineLevel="0" collapsed="false">
      <c r="D68" s="14"/>
      <c r="F68" s="11"/>
      <c r="H68" s="5" t="str">
        <f aca="false">IF(A68="","",IF(E68="Disponível","Sim","Não"))</f>
        <v/>
      </c>
    </row>
    <row r="69" customFormat="false" ht="15" hidden="false" customHeight="true" outlineLevel="0" collapsed="false">
      <c r="D69" s="14"/>
      <c r="F69" s="11"/>
      <c r="H69" s="5" t="str">
        <f aca="false">IF(A69="","",IF(E69="Disponível","Sim","Não"))</f>
        <v/>
      </c>
    </row>
    <row r="70" customFormat="false" ht="15" hidden="false" customHeight="true" outlineLevel="0" collapsed="false">
      <c r="D70" s="14"/>
      <c r="F70" s="11"/>
      <c r="H70" s="5" t="str">
        <f aca="false">IF(A70="","",IF(E70="Disponível","Sim","Não"))</f>
        <v/>
      </c>
    </row>
    <row r="71" customFormat="false" ht="15" hidden="false" customHeight="true" outlineLevel="0" collapsed="false">
      <c r="D71" s="14"/>
      <c r="F71" s="11"/>
      <c r="H71" s="5" t="str">
        <f aca="false">IF(A71="","",IF(E71="Disponível","Sim","Não"))</f>
        <v/>
      </c>
    </row>
    <row r="72" customFormat="false" ht="15" hidden="false" customHeight="true" outlineLevel="0" collapsed="false">
      <c r="D72" s="14"/>
      <c r="F72" s="11"/>
      <c r="H72" s="5" t="str">
        <f aca="false">IF(A72="","",IF(E72="Disponível","Sim","Não"))</f>
        <v/>
      </c>
    </row>
    <row r="73" customFormat="false" ht="15" hidden="false" customHeight="true" outlineLevel="0" collapsed="false">
      <c r="D73" s="14"/>
      <c r="F73" s="11"/>
      <c r="H73" s="5" t="str">
        <f aca="false">IF(A73="","",IF(E73="Disponível","Sim","Não"))</f>
        <v/>
      </c>
    </row>
    <row r="74" customFormat="false" ht="15" hidden="false" customHeight="true" outlineLevel="0" collapsed="false">
      <c r="D74" s="14"/>
      <c r="F74" s="11"/>
      <c r="H74" s="5" t="str">
        <f aca="false">IF(A74="","",IF(E74="Disponível","Sim","Não"))</f>
        <v/>
      </c>
    </row>
    <row r="75" customFormat="false" ht="15" hidden="false" customHeight="true" outlineLevel="0" collapsed="false">
      <c r="D75" s="14"/>
      <c r="F75" s="11"/>
      <c r="H75" s="5" t="str">
        <f aca="false">IF(A75="","",IF(E75="Disponível","Sim","Não"))</f>
        <v/>
      </c>
    </row>
    <row r="76" customFormat="false" ht="15" hidden="false" customHeight="true" outlineLevel="0" collapsed="false">
      <c r="D76" s="14"/>
      <c r="F76" s="11"/>
      <c r="H76" s="5" t="str">
        <f aca="false">IF(A76="","",IF(E76="Disponível","Sim","Não"))</f>
        <v/>
      </c>
    </row>
    <row r="77" customFormat="false" ht="15" hidden="false" customHeight="true" outlineLevel="0" collapsed="false">
      <c r="D77" s="14"/>
      <c r="F77" s="11"/>
      <c r="H77" s="5" t="str">
        <f aca="false">IF(A77="","",IF(E77="Disponível","Sim","Não"))</f>
        <v/>
      </c>
    </row>
    <row r="78" customFormat="false" ht="15" hidden="false" customHeight="true" outlineLevel="0" collapsed="false">
      <c r="D78" s="14"/>
      <c r="F78" s="11"/>
      <c r="H78" s="5" t="str">
        <f aca="false">IF(A78="","",IF(E78="Disponível","Sim","Não"))</f>
        <v/>
      </c>
    </row>
    <row r="79" customFormat="false" ht="15" hidden="false" customHeight="true" outlineLevel="0" collapsed="false">
      <c r="D79" s="14"/>
      <c r="F79" s="11"/>
      <c r="H79" s="5" t="str">
        <f aca="false">IF(A79="","",IF(E79="Disponível","Sim","Não"))</f>
        <v/>
      </c>
    </row>
    <row r="80" customFormat="false" ht="15" hidden="false" customHeight="true" outlineLevel="0" collapsed="false">
      <c r="D80" s="14"/>
      <c r="F80" s="11"/>
      <c r="H80" s="5" t="str">
        <f aca="false">IF(A80="","",IF(E80="Disponível","Sim","Não"))</f>
        <v/>
      </c>
    </row>
    <row r="81" customFormat="false" ht="15" hidden="false" customHeight="true" outlineLevel="0" collapsed="false">
      <c r="D81" s="14"/>
      <c r="F81" s="11"/>
      <c r="H81" s="5" t="str">
        <f aca="false">IF(A81="","",IF(E81="Disponível","Sim","Não"))</f>
        <v/>
      </c>
    </row>
    <row r="82" customFormat="false" ht="15" hidden="false" customHeight="true" outlineLevel="0" collapsed="false">
      <c r="D82" s="14"/>
      <c r="F82" s="11"/>
      <c r="H82" s="5" t="str">
        <f aca="false">IF(A82="","",IF(E82="Disponível","Sim","Não"))</f>
        <v/>
      </c>
    </row>
    <row r="83" customFormat="false" ht="15" hidden="false" customHeight="true" outlineLevel="0" collapsed="false">
      <c r="D83" s="14"/>
      <c r="F83" s="11"/>
      <c r="H83" s="5" t="str">
        <f aca="false">IF(A83="","",IF(E83="Disponível","Sim","Não"))</f>
        <v/>
      </c>
    </row>
    <row r="84" customFormat="false" ht="15" hidden="false" customHeight="true" outlineLevel="0" collapsed="false">
      <c r="D84" s="14"/>
      <c r="F84" s="11"/>
      <c r="H84" s="5" t="str">
        <f aca="false">IF(A84="","",IF(E84="Disponível","Sim","Não"))</f>
        <v/>
      </c>
    </row>
    <row r="85" customFormat="false" ht="15" hidden="false" customHeight="true" outlineLevel="0" collapsed="false">
      <c r="D85" s="14"/>
      <c r="F85" s="11"/>
      <c r="H85" s="5" t="str">
        <f aca="false">IF(A85="","",IF(E85="Disponível","Sim","Não"))</f>
        <v/>
      </c>
    </row>
    <row r="86" customFormat="false" ht="15" hidden="false" customHeight="true" outlineLevel="0" collapsed="false">
      <c r="D86" s="14"/>
      <c r="F86" s="11"/>
      <c r="H86" s="5" t="str">
        <f aca="false">IF(A86="","",IF(E86="Disponível","Sim","Não"))</f>
        <v/>
      </c>
    </row>
    <row r="87" customFormat="false" ht="15" hidden="false" customHeight="true" outlineLevel="0" collapsed="false">
      <c r="D87" s="14"/>
      <c r="F87" s="11"/>
      <c r="H87" s="5" t="str">
        <f aca="false">IF(A87="","",IF(E87="Disponível","Sim","Não"))</f>
        <v/>
      </c>
    </row>
    <row r="88" customFormat="false" ht="15" hidden="false" customHeight="true" outlineLevel="0" collapsed="false">
      <c r="D88" s="14"/>
      <c r="F88" s="11"/>
      <c r="H88" s="5" t="str">
        <f aca="false">IF(A88="","",IF(E88="Disponível","Sim","Não"))</f>
        <v/>
      </c>
    </row>
    <row r="89" customFormat="false" ht="15" hidden="false" customHeight="true" outlineLevel="0" collapsed="false">
      <c r="D89" s="14"/>
      <c r="F89" s="11"/>
      <c r="H89" s="5" t="str">
        <f aca="false">IF(A89="","",IF(E89="Disponível","Sim","Não"))</f>
        <v/>
      </c>
    </row>
    <row r="90" customFormat="false" ht="15" hidden="false" customHeight="true" outlineLevel="0" collapsed="false">
      <c r="D90" s="14"/>
      <c r="F90" s="11"/>
      <c r="H90" s="5" t="str">
        <f aca="false">IF(A90="","",IF(E90="Disponível","Sim","Não"))</f>
        <v/>
      </c>
    </row>
    <row r="91" customFormat="false" ht="15" hidden="false" customHeight="true" outlineLevel="0" collapsed="false">
      <c r="D91" s="14"/>
      <c r="F91" s="11"/>
      <c r="H91" s="5" t="str">
        <f aca="false">IF(A91="","",IF(E91="Disponível","Sim","Não"))</f>
        <v/>
      </c>
    </row>
    <row r="92" customFormat="false" ht="15" hidden="false" customHeight="true" outlineLevel="0" collapsed="false">
      <c r="D92" s="14"/>
      <c r="F92" s="11"/>
      <c r="H92" s="5" t="str">
        <f aca="false">IF(A92="","",IF(E92="Disponível","Sim","Não"))</f>
        <v/>
      </c>
    </row>
    <row r="93" customFormat="false" ht="15" hidden="false" customHeight="true" outlineLevel="0" collapsed="false">
      <c r="D93" s="14"/>
      <c r="F93" s="11"/>
      <c r="H93" s="5" t="str">
        <f aca="false">IF(A93="","",IF(E93="Disponível","Sim","Não"))</f>
        <v/>
      </c>
    </row>
    <row r="94" customFormat="false" ht="15" hidden="false" customHeight="true" outlineLevel="0" collapsed="false">
      <c r="D94" s="14"/>
      <c r="F94" s="11"/>
      <c r="H94" s="5" t="str">
        <f aca="false">IF(A94="","",IF(E94="Disponível","Sim","Não"))</f>
        <v/>
      </c>
    </row>
    <row r="95" customFormat="false" ht="15" hidden="false" customHeight="true" outlineLevel="0" collapsed="false">
      <c r="D95" s="14"/>
      <c r="F95" s="11"/>
      <c r="H95" s="5" t="str">
        <f aca="false">IF(A95="","",IF(E95="Disponível","Sim","Não"))</f>
        <v/>
      </c>
    </row>
    <row r="96" customFormat="false" ht="15" hidden="false" customHeight="true" outlineLevel="0" collapsed="false">
      <c r="D96" s="14"/>
      <c r="F96" s="11"/>
      <c r="H96" s="5" t="str">
        <f aca="false">IF(A96="","",IF(E96="Disponível","Sim","Não"))</f>
        <v/>
      </c>
    </row>
    <row r="97" customFormat="false" ht="15" hidden="false" customHeight="true" outlineLevel="0" collapsed="false">
      <c r="D97" s="14"/>
      <c r="F97" s="11"/>
      <c r="H97" s="5" t="str">
        <f aca="false">IF(A97="","",IF(E97="Disponível","Sim","Não"))</f>
        <v/>
      </c>
    </row>
    <row r="98" customFormat="false" ht="15" hidden="false" customHeight="true" outlineLevel="0" collapsed="false">
      <c r="D98" s="14"/>
      <c r="F98" s="11"/>
      <c r="H98" s="5" t="str">
        <f aca="false">IF(A98="","",IF(E98="Disponível","Sim","Não"))</f>
        <v/>
      </c>
    </row>
    <row r="99" customFormat="false" ht="15" hidden="false" customHeight="true" outlineLevel="0" collapsed="false">
      <c r="D99" s="14"/>
      <c r="F99" s="11"/>
      <c r="H99" s="5" t="str">
        <f aca="false">IF(A99="","",IF(E99="Disponível","Sim","Não"))</f>
        <v/>
      </c>
    </row>
    <row r="100" customFormat="false" ht="15" hidden="false" customHeight="true" outlineLevel="0" collapsed="false">
      <c r="D100" s="14"/>
      <c r="F100" s="11"/>
      <c r="H100" s="5" t="str">
        <f aca="false">IF(A100="","",IF(E100="Disponível","Sim","Não"))</f>
        <v/>
      </c>
    </row>
    <row r="101" customFormat="false" ht="15" hidden="false" customHeight="true" outlineLevel="0" collapsed="false">
      <c r="D101" s="14"/>
      <c r="F101" s="11"/>
      <c r="H101" s="5" t="str">
        <f aca="false">IF(A101="","",IF(E101="Disponível","Sim","Não"))</f>
        <v/>
      </c>
    </row>
    <row r="102" customFormat="false" ht="15" hidden="false" customHeight="true" outlineLevel="0" collapsed="false">
      <c r="D102" s="14"/>
      <c r="F102" s="11"/>
      <c r="H102" s="5" t="str">
        <f aca="false">IF(A102="","",IF(E102="Disponível","Sim","Não"))</f>
        <v/>
      </c>
    </row>
    <row r="103" customFormat="false" ht="15" hidden="false" customHeight="true" outlineLevel="0" collapsed="false">
      <c r="D103" s="14"/>
      <c r="F103" s="11"/>
      <c r="H103" s="5" t="str">
        <f aca="false">IF(A103="","",IF(E103="Disponível","Sim","Não"))</f>
        <v/>
      </c>
    </row>
    <row r="104" customFormat="false" ht="15" hidden="false" customHeight="true" outlineLevel="0" collapsed="false">
      <c r="D104" s="14"/>
      <c r="F104" s="11"/>
      <c r="H104" s="5" t="str">
        <f aca="false">IF(A104="","",IF(E104="Disponível","Sim","Não"))</f>
        <v/>
      </c>
    </row>
    <row r="105" customFormat="false" ht="15" hidden="false" customHeight="true" outlineLevel="0" collapsed="false">
      <c r="D105" s="14"/>
      <c r="F105" s="11"/>
      <c r="H105" s="5" t="str">
        <f aca="false">IF(A105="","",IF(E105="Disponível","Sim","Não"))</f>
        <v/>
      </c>
    </row>
    <row r="106" customFormat="false" ht="15" hidden="false" customHeight="true" outlineLevel="0" collapsed="false">
      <c r="D106" s="14"/>
      <c r="F106" s="11"/>
      <c r="H106" s="5" t="str">
        <f aca="false">IF(A106="","",IF(E106="Disponível","Sim","Não"))</f>
        <v/>
      </c>
    </row>
    <row r="107" customFormat="false" ht="15" hidden="false" customHeight="true" outlineLevel="0" collapsed="false">
      <c r="D107" s="14"/>
      <c r="F107" s="11"/>
      <c r="H107" s="5" t="str">
        <f aca="false">IF(A107="","",IF(E107="Disponível","Sim","Não"))</f>
        <v/>
      </c>
    </row>
    <row r="108" customFormat="false" ht="15" hidden="false" customHeight="true" outlineLevel="0" collapsed="false">
      <c r="D108" s="14"/>
      <c r="F108" s="11"/>
      <c r="H108" s="5" t="str">
        <f aca="false">IF(A108="","",IF(E108="Disponível","Sim","Não"))</f>
        <v/>
      </c>
    </row>
    <row r="109" customFormat="false" ht="15" hidden="false" customHeight="true" outlineLevel="0" collapsed="false">
      <c r="D109" s="14"/>
      <c r="F109" s="11"/>
      <c r="H109" s="5" t="str">
        <f aca="false">IF(A109="","",IF(E109="Disponível","Sim","Não"))</f>
        <v/>
      </c>
    </row>
    <row r="110" customFormat="false" ht="15" hidden="false" customHeight="true" outlineLevel="0" collapsed="false">
      <c r="D110" s="14"/>
      <c r="F110" s="11"/>
      <c r="H110" s="5" t="str">
        <f aca="false">IF(A110="","",IF(E110="Disponível","Sim","Não"))</f>
        <v/>
      </c>
    </row>
    <row r="111" customFormat="false" ht="15" hidden="false" customHeight="true" outlineLevel="0" collapsed="false">
      <c r="D111" s="14"/>
      <c r="F111" s="11"/>
      <c r="H111" s="5" t="str">
        <f aca="false">IF(A111="","",IF(E111="Disponível","Sim","Não"))</f>
        <v/>
      </c>
    </row>
    <row r="112" customFormat="false" ht="15" hidden="false" customHeight="true" outlineLevel="0" collapsed="false">
      <c r="D112" s="14"/>
      <c r="F112" s="11"/>
      <c r="H112" s="5" t="str">
        <f aca="false">IF(A112="","",IF(E112="Disponível","Sim","Não"))</f>
        <v/>
      </c>
    </row>
    <row r="113" customFormat="false" ht="15" hidden="false" customHeight="true" outlineLevel="0" collapsed="false">
      <c r="D113" s="14"/>
      <c r="F113" s="11"/>
      <c r="H113" s="5" t="str">
        <f aca="false">IF(A113="","",IF(E113="Disponível","Sim","Não"))</f>
        <v/>
      </c>
    </row>
    <row r="114" customFormat="false" ht="15" hidden="false" customHeight="true" outlineLevel="0" collapsed="false">
      <c r="D114" s="14"/>
      <c r="F114" s="11"/>
      <c r="H114" s="5" t="str">
        <f aca="false">IF(A114="","",IF(E114="Disponível","Sim","Não"))</f>
        <v/>
      </c>
    </row>
    <row r="115" customFormat="false" ht="15" hidden="false" customHeight="true" outlineLevel="0" collapsed="false">
      <c r="D115" s="14"/>
      <c r="F115" s="11"/>
      <c r="H115" s="5" t="str">
        <f aca="false">IF(A115="","",IF(E115="Disponível","Sim","Não"))</f>
        <v/>
      </c>
    </row>
    <row r="116" customFormat="false" ht="15" hidden="false" customHeight="true" outlineLevel="0" collapsed="false">
      <c r="D116" s="14"/>
      <c r="F116" s="11"/>
      <c r="H116" s="5" t="str">
        <f aca="false">IF(A116="","",IF(E116="Disponível","Sim","Não"))</f>
        <v/>
      </c>
    </row>
    <row r="117" customFormat="false" ht="15" hidden="false" customHeight="true" outlineLevel="0" collapsed="false">
      <c r="D117" s="14"/>
      <c r="F117" s="11"/>
      <c r="H117" s="5" t="str">
        <f aca="false">IF(A117="","",IF(E117="Disponível","Sim","Não"))</f>
        <v/>
      </c>
    </row>
    <row r="118" customFormat="false" ht="15" hidden="false" customHeight="true" outlineLevel="0" collapsed="false">
      <c r="D118" s="14"/>
      <c r="F118" s="11"/>
      <c r="H118" s="5" t="str">
        <f aca="false">IF(A118="","",IF(E118="Disponível","Sim","Não"))</f>
        <v/>
      </c>
    </row>
    <row r="119" customFormat="false" ht="15" hidden="false" customHeight="true" outlineLevel="0" collapsed="false">
      <c r="D119" s="14"/>
      <c r="F119" s="11"/>
      <c r="H119" s="5" t="str">
        <f aca="false">IF(A119="","",IF(E119="Disponível","Sim","Não"))</f>
        <v/>
      </c>
    </row>
    <row r="120" customFormat="false" ht="15" hidden="false" customHeight="true" outlineLevel="0" collapsed="false">
      <c r="D120" s="14"/>
      <c r="F120" s="11"/>
      <c r="H120" s="5" t="str">
        <f aca="false">IF(A120="","",IF(E120="Disponível","Sim","Não"))</f>
        <v/>
      </c>
    </row>
    <row r="121" customFormat="false" ht="15" hidden="false" customHeight="true" outlineLevel="0" collapsed="false">
      <c r="D121" s="14"/>
      <c r="F121" s="11"/>
      <c r="H121" s="5" t="str">
        <f aca="false">IF(A121="","",IF(E121="Disponível","Sim","Não"))</f>
        <v/>
      </c>
    </row>
    <row r="122" customFormat="false" ht="15" hidden="false" customHeight="true" outlineLevel="0" collapsed="false">
      <c r="D122" s="14"/>
      <c r="F122" s="11"/>
      <c r="H122" s="5" t="str">
        <f aca="false">IF(A122="","",IF(E122="Disponível","Sim","Não"))</f>
        <v/>
      </c>
    </row>
    <row r="123" customFormat="false" ht="15" hidden="false" customHeight="true" outlineLevel="0" collapsed="false">
      <c r="D123" s="14"/>
      <c r="F123" s="11"/>
      <c r="H123" s="5" t="str">
        <f aca="false">IF(A123="","",IF(E123="Disponível","Sim","Não"))</f>
        <v/>
      </c>
    </row>
    <row r="124" customFormat="false" ht="15" hidden="false" customHeight="true" outlineLevel="0" collapsed="false">
      <c r="D124" s="14"/>
      <c r="F124" s="11"/>
      <c r="H124" s="5" t="str">
        <f aca="false">IF(A124="","",IF(E124="Disponível","Sim","Não"))</f>
        <v/>
      </c>
    </row>
    <row r="125" customFormat="false" ht="15" hidden="false" customHeight="true" outlineLevel="0" collapsed="false">
      <c r="D125" s="14"/>
      <c r="F125" s="11"/>
      <c r="H125" s="5" t="str">
        <f aca="false">IF(A125="","",IF(E125="Disponível","Sim","Não"))</f>
        <v/>
      </c>
    </row>
    <row r="126" customFormat="false" ht="15" hidden="false" customHeight="true" outlineLevel="0" collapsed="false">
      <c r="D126" s="14"/>
      <c r="F126" s="11"/>
      <c r="H126" s="5" t="str">
        <f aca="false">IF(A126="","",IF(E126="Disponível","Sim","Não"))</f>
        <v/>
      </c>
    </row>
    <row r="127" customFormat="false" ht="15" hidden="false" customHeight="true" outlineLevel="0" collapsed="false">
      <c r="D127" s="14"/>
      <c r="F127" s="11"/>
      <c r="H127" s="5" t="str">
        <f aca="false">IF(A127="","",IF(E127="Disponível","Sim","Não"))</f>
        <v/>
      </c>
    </row>
    <row r="128" customFormat="false" ht="15" hidden="false" customHeight="true" outlineLevel="0" collapsed="false">
      <c r="D128" s="14"/>
      <c r="F128" s="11"/>
      <c r="H128" s="5" t="str">
        <f aca="false">IF(A128="","",IF(E128="Disponível","Sim","Não"))</f>
        <v/>
      </c>
    </row>
    <row r="129" customFormat="false" ht="15" hidden="false" customHeight="true" outlineLevel="0" collapsed="false">
      <c r="D129" s="14"/>
      <c r="F129" s="11"/>
      <c r="H129" s="5" t="str">
        <f aca="false">IF(A129="","",IF(E129="Disponível","Sim","Não"))</f>
        <v/>
      </c>
    </row>
    <row r="130" customFormat="false" ht="15" hidden="false" customHeight="true" outlineLevel="0" collapsed="false">
      <c r="D130" s="14"/>
      <c r="F130" s="11"/>
      <c r="H130" s="5" t="str">
        <f aca="false">IF(A130="","",IF(E130="Disponível","Sim","Não"))</f>
        <v/>
      </c>
    </row>
    <row r="131" customFormat="false" ht="15" hidden="false" customHeight="true" outlineLevel="0" collapsed="false">
      <c r="D131" s="14"/>
      <c r="F131" s="11"/>
      <c r="H131" s="5" t="str">
        <f aca="false">IF(A131="","",IF(E131="Disponível","Sim","Não"))</f>
        <v/>
      </c>
    </row>
    <row r="132" customFormat="false" ht="15" hidden="false" customHeight="true" outlineLevel="0" collapsed="false">
      <c r="D132" s="14"/>
      <c r="F132" s="11"/>
      <c r="H132" s="5" t="str">
        <f aca="false">IF(A132="","",IF(E132="Disponível","Sim","Não"))</f>
        <v/>
      </c>
    </row>
    <row r="133" customFormat="false" ht="15" hidden="false" customHeight="true" outlineLevel="0" collapsed="false">
      <c r="D133" s="14"/>
      <c r="F133" s="11"/>
      <c r="H133" s="5" t="str">
        <f aca="false">IF(A133="","",IF(E133="Disponível","Sim","Não"))</f>
        <v/>
      </c>
    </row>
    <row r="134" customFormat="false" ht="15" hidden="false" customHeight="true" outlineLevel="0" collapsed="false">
      <c r="D134" s="14"/>
      <c r="F134" s="11"/>
      <c r="H134" s="5" t="str">
        <f aca="false">IF(A134="","",IF(E134="Disponível","Sim","Não"))</f>
        <v/>
      </c>
    </row>
    <row r="135" customFormat="false" ht="15" hidden="false" customHeight="true" outlineLevel="0" collapsed="false">
      <c r="D135" s="14"/>
      <c r="F135" s="11"/>
      <c r="H135" s="5" t="str">
        <f aca="false">IF(A135="","",IF(E135="Disponível","Sim","Não"))</f>
        <v/>
      </c>
    </row>
    <row r="136" customFormat="false" ht="15" hidden="false" customHeight="true" outlineLevel="0" collapsed="false">
      <c r="D136" s="14"/>
      <c r="F136" s="11"/>
      <c r="H136" s="5" t="str">
        <f aca="false">IF(A136="","",IF(E136="Disponível","Sim","Não"))</f>
        <v/>
      </c>
    </row>
    <row r="137" customFormat="false" ht="15" hidden="false" customHeight="true" outlineLevel="0" collapsed="false">
      <c r="D137" s="14"/>
      <c r="F137" s="11"/>
      <c r="H137" s="5" t="str">
        <f aca="false">IF(A137="","",IF(E137="Disponível","Sim","Não"))</f>
        <v/>
      </c>
    </row>
    <row r="138" customFormat="false" ht="15" hidden="false" customHeight="true" outlineLevel="0" collapsed="false">
      <c r="D138" s="14"/>
      <c r="F138" s="11"/>
      <c r="H138" s="5" t="str">
        <f aca="false">IF(A138="","",IF(E138="Disponível","Sim","Não"))</f>
        <v/>
      </c>
    </row>
    <row r="139" customFormat="false" ht="15" hidden="false" customHeight="true" outlineLevel="0" collapsed="false">
      <c r="D139" s="14"/>
      <c r="F139" s="11"/>
      <c r="H139" s="5" t="str">
        <f aca="false">IF(A139="","",IF(E139="Disponível","Sim","Não"))</f>
        <v/>
      </c>
    </row>
    <row r="140" customFormat="false" ht="15" hidden="false" customHeight="true" outlineLevel="0" collapsed="false">
      <c r="D140" s="14"/>
      <c r="F140" s="11"/>
      <c r="H140" s="5" t="str">
        <f aca="false">IF(A140="","",IF(E140="Disponível","Sim","Não"))</f>
        <v/>
      </c>
    </row>
    <row r="141" customFormat="false" ht="15" hidden="false" customHeight="true" outlineLevel="0" collapsed="false">
      <c r="D141" s="14"/>
      <c r="F141" s="11"/>
      <c r="H141" s="5" t="str">
        <f aca="false">IF(A141="","",IF(E141="Disponível","Sim","Não"))</f>
        <v/>
      </c>
    </row>
    <row r="142" customFormat="false" ht="15" hidden="false" customHeight="true" outlineLevel="0" collapsed="false">
      <c r="D142" s="14"/>
      <c r="F142" s="11"/>
      <c r="H142" s="5" t="str">
        <f aca="false">IF(A142="","",IF(E142="Disponível","Sim","Não"))</f>
        <v/>
      </c>
    </row>
    <row r="143" customFormat="false" ht="15" hidden="false" customHeight="true" outlineLevel="0" collapsed="false">
      <c r="D143" s="14"/>
      <c r="F143" s="11"/>
      <c r="H143" s="5" t="str">
        <f aca="false">IF(A143="","",IF(E143="Disponível","Sim","Não"))</f>
        <v/>
      </c>
    </row>
    <row r="144" customFormat="false" ht="15" hidden="false" customHeight="true" outlineLevel="0" collapsed="false">
      <c r="D144" s="14"/>
      <c r="F144" s="11"/>
      <c r="H144" s="5" t="str">
        <f aca="false">IF(A144="","",IF(E144="Disponível","Sim","Não"))</f>
        <v/>
      </c>
    </row>
    <row r="145" customFormat="false" ht="15" hidden="false" customHeight="true" outlineLevel="0" collapsed="false">
      <c r="D145" s="14"/>
      <c r="F145" s="11"/>
      <c r="H145" s="5" t="str">
        <f aca="false">IF(A145="","",IF(E145="Disponível","Sim","Não"))</f>
        <v/>
      </c>
    </row>
    <row r="146" customFormat="false" ht="15" hidden="false" customHeight="true" outlineLevel="0" collapsed="false">
      <c r="D146" s="14"/>
      <c r="F146" s="11"/>
      <c r="H146" s="5" t="str">
        <f aca="false">IF(A146="","",IF(E146="Disponível","Sim","Não"))</f>
        <v/>
      </c>
    </row>
    <row r="147" customFormat="false" ht="15" hidden="false" customHeight="true" outlineLevel="0" collapsed="false">
      <c r="D147" s="14"/>
      <c r="F147" s="11"/>
      <c r="H147" s="5" t="str">
        <f aca="false">IF(A147="","",IF(E147="Disponível","Sim","Não"))</f>
        <v/>
      </c>
    </row>
    <row r="148" customFormat="false" ht="15" hidden="false" customHeight="true" outlineLevel="0" collapsed="false">
      <c r="D148" s="14"/>
      <c r="F148" s="11"/>
      <c r="H148" s="5" t="str">
        <f aca="false">IF(A148="","",IF(E148="Disponível","Sim","Não"))</f>
        <v/>
      </c>
    </row>
    <row r="149" customFormat="false" ht="15" hidden="false" customHeight="true" outlineLevel="0" collapsed="false">
      <c r="D149" s="14"/>
      <c r="F149" s="11"/>
      <c r="H149" s="5" t="str">
        <f aca="false">IF(A149="","",IF(E149="Disponível","Sim","Não"))</f>
        <v/>
      </c>
    </row>
    <row r="150" customFormat="false" ht="15" hidden="false" customHeight="true" outlineLevel="0" collapsed="false">
      <c r="D150" s="14"/>
      <c r="F150" s="11"/>
      <c r="H150" s="5" t="str">
        <f aca="false">IF(A150="","",IF(E150="Disponível","Sim","Não"))</f>
        <v/>
      </c>
    </row>
    <row r="151" customFormat="false" ht="15" hidden="false" customHeight="true" outlineLevel="0" collapsed="false">
      <c r="D151" s="14"/>
      <c r="F151" s="11"/>
      <c r="H151" s="5" t="str">
        <f aca="false">IF(A151="","",IF(E151="Disponível","Sim","Não"))</f>
        <v/>
      </c>
    </row>
    <row r="152" customFormat="false" ht="15" hidden="false" customHeight="true" outlineLevel="0" collapsed="false">
      <c r="D152" s="14"/>
      <c r="F152" s="11"/>
      <c r="H152" s="5" t="str">
        <f aca="false">IF(A152="","",IF(E152="Disponível","Sim","Não"))</f>
        <v/>
      </c>
    </row>
    <row r="153" customFormat="false" ht="15" hidden="false" customHeight="true" outlineLevel="0" collapsed="false">
      <c r="D153" s="14"/>
      <c r="F153" s="11"/>
      <c r="H153" s="5" t="str">
        <f aca="false">IF(A153="","",IF(E153="Disponível","Sim","Não"))</f>
        <v/>
      </c>
    </row>
    <row r="154" customFormat="false" ht="15" hidden="false" customHeight="true" outlineLevel="0" collapsed="false">
      <c r="D154" s="14"/>
      <c r="F154" s="11"/>
      <c r="H154" s="5" t="str">
        <f aca="false">IF(A154="","",IF(E154="Disponível","Sim","Não"))</f>
        <v/>
      </c>
    </row>
    <row r="155" customFormat="false" ht="15" hidden="false" customHeight="true" outlineLevel="0" collapsed="false">
      <c r="D155" s="14"/>
      <c r="F155" s="11"/>
      <c r="H155" s="5" t="str">
        <f aca="false">IF(A155="","",IF(E155="Disponível","Sim","Não"))</f>
        <v/>
      </c>
    </row>
    <row r="156" customFormat="false" ht="15" hidden="false" customHeight="true" outlineLevel="0" collapsed="false">
      <c r="D156" s="14"/>
      <c r="F156" s="11"/>
      <c r="H156" s="5" t="str">
        <f aca="false">IF(A156="","",IF(E156="Disponível","Sim","Não"))</f>
        <v/>
      </c>
    </row>
    <row r="157" customFormat="false" ht="15" hidden="false" customHeight="true" outlineLevel="0" collapsed="false">
      <c r="D157" s="14"/>
      <c r="F157" s="11"/>
      <c r="H157" s="5" t="str">
        <f aca="false">IF(A157="","",IF(E157="Disponível","Sim","Não"))</f>
        <v/>
      </c>
    </row>
    <row r="158" customFormat="false" ht="15" hidden="false" customHeight="true" outlineLevel="0" collapsed="false">
      <c r="D158" s="14"/>
      <c r="F158" s="11"/>
      <c r="H158" s="5" t="str">
        <f aca="false">IF(A158="","",IF(E158="Disponível","Sim","Não"))</f>
        <v/>
      </c>
    </row>
    <row r="159" customFormat="false" ht="15" hidden="false" customHeight="true" outlineLevel="0" collapsed="false">
      <c r="D159" s="14"/>
      <c r="F159" s="11"/>
      <c r="H159" s="5" t="str">
        <f aca="false">IF(A159="","",IF(E159="Disponível","Sim","Não"))</f>
        <v/>
      </c>
    </row>
    <row r="160" customFormat="false" ht="15" hidden="false" customHeight="true" outlineLevel="0" collapsed="false">
      <c r="D160" s="14"/>
      <c r="F160" s="11"/>
      <c r="H160" s="5" t="str">
        <f aca="false">IF(A160="","",IF(E160="Disponível","Sim","Não"))</f>
        <v/>
      </c>
    </row>
    <row r="161" customFormat="false" ht="15" hidden="false" customHeight="true" outlineLevel="0" collapsed="false">
      <c r="D161" s="14"/>
      <c r="F161" s="11"/>
      <c r="H161" s="5" t="str">
        <f aca="false">IF(A161="","",IF(E161="Disponível","Sim","Não"))</f>
        <v/>
      </c>
    </row>
    <row r="162" customFormat="false" ht="15" hidden="false" customHeight="true" outlineLevel="0" collapsed="false">
      <c r="D162" s="14"/>
      <c r="F162" s="11"/>
      <c r="H162" s="5" t="str">
        <f aca="false">IF(A162="","",IF(E162="Disponível","Sim","Não"))</f>
        <v/>
      </c>
    </row>
    <row r="163" customFormat="false" ht="15" hidden="false" customHeight="true" outlineLevel="0" collapsed="false">
      <c r="D163" s="14"/>
      <c r="F163" s="11"/>
      <c r="H163" s="5" t="str">
        <f aca="false">IF(A163="","",IF(E163="Disponível","Sim","Não"))</f>
        <v/>
      </c>
    </row>
    <row r="164" customFormat="false" ht="15" hidden="false" customHeight="true" outlineLevel="0" collapsed="false">
      <c r="D164" s="14"/>
      <c r="F164" s="11"/>
      <c r="H164" s="5" t="str">
        <f aca="false">IF(A164="","",IF(E164="Disponível","Sim","Não"))</f>
        <v/>
      </c>
    </row>
    <row r="165" customFormat="false" ht="15" hidden="false" customHeight="true" outlineLevel="0" collapsed="false">
      <c r="D165" s="14"/>
      <c r="F165" s="11"/>
      <c r="H165" s="5" t="str">
        <f aca="false">IF(A165="","",IF(E165="Disponível","Sim","Não"))</f>
        <v/>
      </c>
    </row>
    <row r="166" customFormat="false" ht="15" hidden="false" customHeight="true" outlineLevel="0" collapsed="false">
      <c r="D166" s="14"/>
      <c r="F166" s="11"/>
      <c r="H166" s="5" t="str">
        <f aca="false">IF(A166="","",IF(E166="Disponível","Sim","Não"))</f>
        <v/>
      </c>
    </row>
    <row r="167" customFormat="false" ht="15" hidden="false" customHeight="true" outlineLevel="0" collapsed="false">
      <c r="D167" s="14"/>
      <c r="F167" s="11"/>
      <c r="H167" s="5" t="str">
        <f aca="false">IF(A167="","",IF(E167="Disponível","Sim","Não"))</f>
        <v/>
      </c>
    </row>
    <row r="168" customFormat="false" ht="15" hidden="false" customHeight="true" outlineLevel="0" collapsed="false">
      <c r="D168" s="14"/>
      <c r="F168" s="11"/>
      <c r="H168" s="5" t="str">
        <f aca="false">IF(A168="","",IF(E168="Disponível","Sim","Não"))</f>
        <v/>
      </c>
    </row>
    <row r="169" customFormat="false" ht="15" hidden="false" customHeight="true" outlineLevel="0" collapsed="false">
      <c r="D169" s="14"/>
      <c r="F169" s="11"/>
      <c r="H169" s="5" t="str">
        <f aca="false">IF(A169="","",IF(E169="Disponível","Sim","Não"))</f>
        <v/>
      </c>
    </row>
    <row r="170" customFormat="false" ht="15" hidden="false" customHeight="true" outlineLevel="0" collapsed="false">
      <c r="D170" s="14"/>
      <c r="F170" s="11"/>
      <c r="H170" s="5" t="str">
        <f aca="false">IF(A170="","",IF(E170="Disponível","Sim","Não"))</f>
        <v/>
      </c>
    </row>
    <row r="171" customFormat="false" ht="15" hidden="false" customHeight="true" outlineLevel="0" collapsed="false">
      <c r="D171" s="14"/>
      <c r="F171" s="11"/>
      <c r="H171" s="5" t="str">
        <f aca="false">IF(A171="","",IF(E171="Disponível","Sim","Não"))</f>
        <v/>
      </c>
    </row>
    <row r="172" customFormat="false" ht="15" hidden="false" customHeight="true" outlineLevel="0" collapsed="false">
      <c r="D172" s="14"/>
      <c r="F172" s="11"/>
      <c r="H172" s="5" t="str">
        <f aca="false">IF(A172="","",IF(E172="Disponível","Sim","Não"))</f>
        <v/>
      </c>
    </row>
    <row r="173" customFormat="false" ht="15" hidden="false" customHeight="true" outlineLevel="0" collapsed="false">
      <c r="D173" s="14"/>
      <c r="F173" s="11"/>
      <c r="H173" s="5" t="str">
        <f aca="false">IF(A173="","",IF(E173="Disponível","Sim","Não"))</f>
        <v/>
      </c>
    </row>
    <row r="174" customFormat="false" ht="15" hidden="false" customHeight="true" outlineLevel="0" collapsed="false">
      <c r="D174" s="14"/>
      <c r="F174" s="11"/>
      <c r="H174" s="5" t="str">
        <f aca="false">IF(A174="","",IF(E174="Disponível","Sim","Não"))</f>
        <v/>
      </c>
    </row>
    <row r="175" customFormat="false" ht="15" hidden="false" customHeight="true" outlineLevel="0" collapsed="false">
      <c r="D175" s="14"/>
      <c r="F175" s="11"/>
      <c r="H175" s="5" t="str">
        <f aca="false">IF(A175="","",IF(E175="Disponível","Sim","Não"))</f>
        <v/>
      </c>
    </row>
    <row r="176" customFormat="false" ht="15" hidden="false" customHeight="true" outlineLevel="0" collapsed="false">
      <c r="D176" s="14"/>
      <c r="F176" s="11"/>
      <c r="H176" s="5" t="str">
        <f aca="false">IF(A176="","",IF(E176="Disponível","Sim","Não"))</f>
        <v/>
      </c>
    </row>
    <row r="177" customFormat="false" ht="15" hidden="false" customHeight="true" outlineLevel="0" collapsed="false">
      <c r="D177" s="14"/>
      <c r="F177" s="11"/>
      <c r="H177" s="5" t="str">
        <f aca="false">IF(A177="","",IF(E177="Disponível","Sim","Não"))</f>
        <v/>
      </c>
    </row>
    <row r="178" customFormat="false" ht="15" hidden="false" customHeight="true" outlineLevel="0" collapsed="false">
      <c r="D178" s="14"/>
      <c r="F178" s="11"/>
      <c r="H178" s="5" t="str">
        <f aca="false">IF(A178="","",IF(E178="Disponível","Sim","Não"))</f>
        <v/>
      </c>
    </row>
    <row r="179" customFormat="false" ht="15" hidden="false" customHeight="true" outlineLevel="0" collapsed="false">
      <c r="D179" s="14"/>
      <c r="F179" s="11"/>
      <c r="H179" s="5" t="str">
        <f aca="false">IF(A179="","",IF(E179="Disponível","Sim","Não"))</f>
        <v/>
      </c>
    </row>
    <row r="180" customFormat="false" ht="15" hidden="false" customHeight="true" outlineLevel="0" collapsed="false">
      <c r="D180" s="14"/>
      <c r="F180" s="11"/>
      <c r="H180" s="5" t="str">
        <f aca="false">IF(A180="","",IF(E180="Disponível","Sim","Não"))</f>
        <v/>
      </c>
    </row>
    <row r="181" customFormat="false" ht="15" hidden="false" customHeight="true" outlineLevel="0" collapsed="false">
      <c r="D181" s="14"/>
      <c r="F181" s="11"/>
      <c r="H181" s="5" t="str">
        <f aca="false">IF(A181="","",IF(E181="Disponível","Sim","Não"))</f>
        <v/>
      </c>
    </row>
    <row r="182" customFormat="false" ht="15" hidden="false" customHeight="true" outlineLevel="0" collapsed="false">
      <c r="D182" s="14"/>
      <c r="F182" s="11"/>
      <c r="H182" s="5" t="str">
        <f aca="false">IF(A182="","",IF(E182="Disponível","Sim","Não"))</f>
        <v/>
      </c>
    </row>
    <row r="183" customFormat="false" ht="15" hidden="false" customHeight="true" outlineLevel="0" collapsed="false">
      <c r="D183" s="14"/>
      <c r="F183" s="11"/>
      <c r="H183" s="5" t="str">
        <f aca="false">IF(A183="","",IF(E183="Disponível","Sim","Não"))</f>
        <v/>
      </c>
    </row>
    <row r="184" customFormat="false" ht="15" hidden="false" customHeight="true" outlineLevel="0" collapsed="false">
      <c r="D184" s="14"/>
      <c r="F184" s="11"/>
      <c r="H184" s="5" t="str">
        <f aca="false">IF(A184="","",IF(E184="Disponível","Sim","Não"))</f>
        <v/>
      </c>
    </row>
    <row r="185" customFormat="false" ht="15" hidden="false" customHeight="true" outlineLevel="0" collapsed="false">
      <c r="D185" s="14"/>
      <c r="F185" s="11"/>
      <c r="H185" s="5" t="str">
        <f aca="false">IF(A185="","",IF(E185="Disponível","Sim","Não"))</f>
        <v/>
      </c>
    </row>
    <row r="186" customFormat="false" ht="15" hidden="false" customHeight="true" outlineLevel="0" collapsed="false">
      <c r="D186" s="14"/>
      <c r="F186" s="11"/>
      <c r="H186" s="5" t="str">
        <f aca="false">IF(A186="","",IF(E186="Disponível","Sim","Não"))</f>
        <v/>
      </c>
    </row>
    <row r="187" customFormat="false" ht="15" hidden="false" customHeight="true" outlineLevel="0" collapsed="false">
      <c r="D187" s="14"/>
      <c r="F187" s="11"/>
      <c r="H187" s="5" t="str">
        <f aca="false">IF(A187="","",IF(E187="Disponível","Sim","Não"))</f>
        <v/>
      </c>
    </row>
    <row r="188" customFormat="false" ht="15" hidden="false" customHeight="true" outlineLevel="0" collapsed="false">
      <c r="D188" s="14"/>
      <c r="F188" s="11"/>
      <c r="H188" s="5" t="str">
        <f aca="false">IF(A188="","",IF(E188="Disponível","Sim","Não"))</f>
        <v/>
      </c>
    </row>
    <row r="189" customFormat="false" ht="15" hidden="false" customHeight="true" outlineLevel="0" collapsed="false">
      <c r="D189" s="14"/>
      <c r="F189" s="11"/>
      <c r="H189" s="5" t="str">
        <f aca="false">IF(A189="","",IF(E189="Disponível","Sim","Não"))</f>
        <v/>
      </c>
    </row>
    <row r="190" customFormat="false" ht="15" hidden="false" customHeight="true" outlineLevel="0" collapsed="false">
      <c r="D190" s="14"/>
      <c r="F190" s="11"/>
      <c r="H190" s="5" t="str">
        <f aca="false">IF(A190="","",IF(E190="Disponível","Sim","Não"))</f>
        <v/>
      </c>
    </row>
    <row r="191" customFormat="false" ht="15" hidden="false" customHeight="true" outlineLevel="0" collapsed="false">
      <c r="D191" s="14"/>
      <c r="F191" s="11"/>
      <c r="H191" s="5" t="str">
        <f aca="false">IF(A191="","",IF(E191="Disponível","Sim","Não"))</f>
        <v/>
      </c>
    </row>
    <row r="192" customFormat="false" ht="15" hidden="false" customHeight="true" outlineLevel="0" collapsed="false">
      <c r="D192" s="14"/>
      <c r="F192" s="11"/>
      <c r="H192" s="5" t="str">
        <f aca="false">IF(A192="","",IF(E192="Disponível","Sim","Não"))</f>
        <v/>
      </c>
    </row>
    <row r="193" customFormat="false" ht="15" hidden="false" customHeight="true" outlineLevel="0" collapsed="false">
      <c r="D193" s="14"/>
      <c r="F193" s="11"/>
      <c r="H193" s="5" t="str">
        <f aca="false">IF(A193="","",IF(E193="Disponível","Sim","Não"))</f>
        <v/>
      </c>
    </row>
    <row r="194" customFormat="false" ht="15" hidden="false" customHeight="true" outlineLevel="0" collapsed="false">
      <c r="D194" s="14"/>
      <c r="F194" s="11"/>
      <c r="H194" s="5" t="str">
        <f aca="false">IF(A194="","",IF(E194="Disponível","Sim","Não"))</f>
        <v/>
      </c>
    </row>
    <row r="195" customFormat="false" ht="15" hidden="false" customHeight="true" outlineLevel="0" collapsed="false">
      <c r="D195" s="14"/>
      <c r="F195" s="11"/>
      <c r="H195" s="5" t="str">
        <f aca="false">IF(A195="","",IF(E195="Disponível","Sim","Não"))</f>
        <v/>
      </c>
    </row>
    <row r="196" customFormat="false" ht="15" hidden="false" customHeight="true" outlineLevel="0" collapsed="false">
      <c r="D196" s="14"/>
      <c r="F196" s="11"/>
      <c r="H196" s="5" t="str">
        <f aca="false">IF(A196="","",IF(E196="Disponível","Sim","Não"))</f>
        <v/>
      </c>
    </row>
    <row r="197" customFormat="false" ht="15" hidden="false" customHeight="true" outlineLevel="0" collapsed="false">
      <c r="D197" s="14"/>
      <c r="F197" s="11"/>
      <c r="H197" s="5" t="str">
        <f aca="false">IF(A197="","",IF(E197="Disponível","Sim","Não"))</f>
        <v/>
      </c>
    </row>
    <row r="198" customFormat="false" ht="15" hidden="false" customHeight="true" outlineLevel="0" collapsed="false">
      <c r="D198" s="14"/>
      <c r="F198" s="11"/>
      <c r="H198" s="5" t="str">
        <f aca="false">IF(A198="","",IF(E198="Disponível","Sim","Não"))</f>
        <v/>
      </c>
    </row>
    <row r="199" customFormat="false" ht="15" hidden="false" customHeight="true" outlineLevel="0" collapsed="false">
      <c r="D199" s="14"/>
      <c r="F199" s="11"/>
      <c r="H199" s="5" t="str">
        <f aca="false">IF(A199="","",IF(E199="Disponível","Sim","Não"))</f>
        <v/>
      </c>
    </row>
    <row r="200" customFormat="false" ht="15" hidden="false" customHeight="true" outlineLevel="0" collapsed="false">
      <c r="D200" s="14"/>
      <c r="F200" s="11"/>
      <c r="H200" s="5" t="str">
        <f aca="false">IF(A200="","",IF(E200="Disponível","Sim","Não"))</f>
        <v/>
      </c>
    </row>
    <row r="201" customFormat="false" ht="15" hidden="false" customHeight="true" outlineLevel="0" collapsed="false">
      <c r="D201" s="14"/>
      <c r="F201" s="11"/>
      <c r="H201" s="5" t="str">
        <f aca="false">IF(A201="","",IF(E201="Disponível","Sim","Não"))</f>
        <v/>
      </c>
    </row>
    <row r="202" customFormat="false" ht="15" hidden="false" customHeight="true" outlineLevel="0" collapsed="false">
      <c r="D202" s="14"/>
      <c r="F202" s="11"/>
      <c r="H202" s="5" t="str">
        <f aca="false">IF(A202="","",IF(E202="Disponível","Sim","Não"))</f>
        <v/>
      </c>
    </row>
    <row r="203" customFormat="false" ht="15" hidden="false" customHeight="true" outlineLevel="0" collapsed="false">
      <c r="D203" s="14"/>
      <c r="F203" s="11"/>
      <c r="H203" s="5" t="str">
        <f aca="false">IF(A203="","",IF(E203="Disponível","Sim","Não"))</f>
        <v/>
      </c>
    </row>
    <row r="204" customFormat="false" ht="15" hidden="false" customHeight="true" outlineLevel="0" collapsed="false">
      <c r="D204" s="14"/>
      <c r="F204" s="11"/>
      <c r="H204" s="5" t="str">
        <f aca="false">IF(A204="","",IF(E204="Disponível","Sim","Não"))</f>
        <v/>
      </c>
    </row>
    <row r="205" customFormat="false" ht="15" hidden="false" customHeight="true" outlineLevel="0" collapsed="false">
      <c r="D205" s="14"/>
      <c r="F205" s="11"/>
      <c r="H205" s="5" t="str">
        <f aca="false">IF(A205="","",IF(E205="Disponível","Sim","Não"))</f>
        <v/>
      </c>
    </row>
    <row r="206" customFormat="false" ht="15" hidden="false" customHeight="true" outlineLevel="0" collapsed="false">
      <c r="D206" s="14"/>
      <c r="F206" s="11"/>
      <c r="H206" s="5" t="str">
        <f aca="false">IF(A206="","",IF(E206="Disponível","Sim","Não"))</f>
        <v/>
      </c>
    </row>
    <row r="207" customFormat="false" ht="15" hidden="false" customHeight="true" outlineLevel="0" collapsed="false">
      <c r="D207" s="14"/>
      <c r="F207" s="11"/>
      <c r="H207" s="5" t="str">
        <f aca="false">IF(A207="","",IF(E207="Disponível","Sim","Não"))</f>
        <v/>
      </c>
    </row>
    <row r="208" customFormat="false" ht="15" hidden="false" customHeight="true" outlineLevel="0" collapsed="false">
      <c r="D208" s="14"/>
      <c r="F208" s="11"/>
      <c r="H208" s="5" t="str">
        <f aca="false">IF(A208="","",IF(E208="Disponível","Sim","Não"))</f>
        <v/>
      </c>
    </row>
    <row r="209" customFormat="false" ht="15" hidden="false" customHeight="true" outlineLevel="0" collapsed="false">
      <c r="D209" s="14"/>
      <c r="F209" s="11"/>
      <c r="H209" s="5" t="str">
        <f aca="false">IF(A209="","",IF(E209="Disponível","Sim","Não"))</f>
        <v/>
      </c>
    </row>
    <row r="210" customFormat="false" ht="15" hidden="false" customHeight="true" outlineLevel="0" collapsed="false">
      <c r="D210" s="14"/>
      <c r="F210" s="11"/>
      <c r="H210" s="5" t="str">
        <f aca="false">IF(A210="","",IF(E210="Disponível","Sim","Não"))</f>
        <v/>
      </c>
    </row>
    <row r="211" customFormat="false" ht="15" hidden="false" customHeight="true" outlineLevel="0" collapsed="false">
      <c r="D211" s="14"/>
      <c r="F211" s="11"/>
      <c r="H211" s="5" t="str">
        <f aca="false">IF(A211="","",IF(E211="Disponível","Sim","Não"))</f>
        <v/>
      </c>
    </row>
    <row r="212" customFormat="false" ht="15" hidden="false" customHeight="true" outlineLevel="0" collapsed="false">
      <c r="D212" s="14"/>
      <c r="F212" s="11"/>
      <c r="H212" s="5" t="str">
        <f aca="false">IF(A212="","",IF(E212="Disponível","Sim","Não"))</f>
        <v/>
      </c>
    </row>
    <row r="213" customFormat="false" ht="15" hidden="false" customHeight="true" outlineLevel="0" collapsed="false">
      <c r="D213" s="14"/>
      <c r="F213" s="11"/>
      <c r="H213" s="5" t="str">
        <f aca="false">IF(A213="","",IF(E213="Disponível","Sim","Não"))</f>
        <v/>
      </c>
    </row>
    <row r="214" customFormat="false" ht="15" hidden="false" customHeight="true" outlineLevel="0" collapsed="false">
      <c r="D214" s="14"/>
      <c r="F214" s="11"/>
      <c r="H214" s="5" t="str">
        <f aca="false">IF(A214="","",IF(E214="Disponível","Sim","Não"))</f>
        <v/>
      </c>
    </row>
    <row r="215" customFormat="false" ht="15" hidden="false" customHeight="true" outlineLevel="0" collapsed="false">
      <c r="D215" s="14"/>
      <c r="F215" s="11"/>
      <c r="H215" s="5" t="str">
        <f aca="false">IF(A215="","",IF(E215="Disponível","Sim","Não"))</f>
        <v/>
      </c>
    </row>
    <row r="216" customFormat="false" ht="15" hidden="false" customHeight="true" outlineLevel="0" collapsed="false">
      <c r="D216" s="14"/>
      <c r="F216" s="11"/>
      <c r="H216" s="5" t="str">
        <f aca="false">IF(A216="","",IF(E216="Disponível","Sim","Não"))</f>
        <v/>
      </c>
    </row>
    <row r="217" customFormat="false" ht="15" hidden="false" customHeight="true" outlineLevel="0" collapsed="false">
      <c r="D217" s="14"/>
      <c r="F217" s="11"/>
      <c r="H217" s="5" t="str">
        <f aca="false">IF(A217="","",IF(E217="Disponível","Sim","Não"))</f>
        <v/>
      </c>
    </row>
    <row r="218" customFormat="false" ht="15" hidden="false" customHeight="true" outlineLevel="0" collapsed="false">
      <c r="D218" s="14"/>
      <c r="F218" s="11"/>
      <c r="H218" s="5" t="str">
        <f aca="false">IF(A218="","",IF(E218="Disponível","Sim","Não"))</f>
        <v/>
      </c>
    </row>
    <row r="219" customFormat="false" ht="15" hidden="false" customHeight="true" outlineLevel="0" collapsed="false">
      <c r="D219" s="14"/>
      <c r="F219" s="11"/>
      <c r="H219" s="5" t="str">
        <f aca="false">IF(A219="","",IF(E219="Disponível","Sim","Não"))</f>
        <v/>
      </c>
    </row>
    <row r="220" customFormat="false" ht="15" hidden="false" customHeight="true" outlineLevel="0" collapsed="false">
      <c r="D220" s="14"/>
      <c r="F220" s="11"/>
      <c r="H220" s="5" t="str">
        <f aca="false">IF(A220="","",IF(E220="Disponível","Sim","Não"))</f>
        <v/>
      </c>
    </row>
    <row r="221" customFormat="false" ht="15" hidden="false" customHeight="true" outlineLevel="0" collapsed="false">
      <c r="D221" s="14"/>
      <c r="F221" s="11"/>
      <c r="H221" s="5" t="str">
        <f aca="false">IF(A221="","",IF(E221="Disponível","Sim","Não"))</f>
        <v/>
      </c>
    </row>
    <row r="222" customFormat="false" ht="15" hidden="false" customHeight="true" outlineLevel="0" collapsed="false">
      <c r="D222" s="14"/>
      <c r="F222" s="11"/>
      <c r="H222" s="5" t="str">
        <f aca="false">IF(A222="","",IF(E222="Disponível","Sim","Não"))</f>
        <v/>
      </c>
    </row>
    <row r="223" customFormat="false" ht="15" hidden="false" customHeight="true" outlineLevel="0" collapsed="false">
      <c r="D223" s="14"/>
      <c r="F223" s="11"/>
      <c r="H223" s="5" t="str">
        <f aca="false">IF(A223="","",IF(E223="Disponível","Sim","Não"))</f>
        <v/>
      </c>
    </row>
    <row r="224" customFormat="false" ht="15" hidden="false" customHeight="true" outlineLevel="0" collapsed="false">
      <c r="D224" s="14"/>
      <c r="F224" s="11"/>
      <c r="H224" s="5" t="str">
        <f aca="false">IF(A224="","",IF(E224="Disponível","Sim","Não"))</f>
        <v/>
      </c>
    </row>
    <row r="225" customFormat="false" ht="15" hidden="false" customHeight="true" outlineLevel="0" collapsed="false">
      <c r="D225" s="14"/>
      <c r="F225" s="11"/>
      <c r="H225" s="5" t="str">
        <f aca="false">IF(A225="","",IF(E225="Disponível","Sim","Não"))</f>
        <v/>
      </c>
    </row>
    <row r="226" customFormat="false" ht="15" hidden="false" customHeight="true" outlineLevel="0" collapsed="false">
      <c r="D226" s="14"/>
      <c r="F226" s="11"/>
      <c r="H226" s="5" t="str">
        <f aca="false">IF(A226="","",IF(E226="Disponível","Sim","Não"))</f>
        <v/>
      </c>
    </row>
    <row r="227" customFormat="false" ht="15" hidden="false" customHeight="true" outlineLevel="0" collapsed="false">
      <c r="D227" s="14"/>
      <c r="F227" s="11"/>
      <c r="H227" s="5" t="str">
        <f aca="false">IF(A227="","",IF(E227="Disponível","Sim","Não"))</f>
        <v/>
      </c>
    </row>
    <row r="228" customFormat="false" ht="15" hidden="false" customHeight="true" outlineLevel="0" collapsed="false">
      <c r="D228" s="14"/>
      <c r="F228" s="11"/>
      <c r="H228" s="5" t="str">
        <f aca="false">IF(A228="","",IF(E228="Disponível","Sim","Não"))</f>
        <v/>
      </c>
    </row>
    <row r="229" customFormat="false" ht="15" hidden="false" customHeight="true" outlineLevel="0" collapsed="false">
      <c r="D229" s="14"/>
      <c r="F229" s="11"/>
      <c r="H229" s="5" t="str">
        <f aca="false">IF(A229="","",IF(E229="Disponível","Sim","Não"))</f>
        <v/>
      </c>
    </row>
    <row r="230" customFormat="false" ht="15" hidden="false" customHeight="true" outlineLevel="0" collapsed="false">
      <c r="D230" s="14"/>
      <c r="F230" s="11"/>
      <c r="H230" s="5" t="str">
        <f aca="false">IF(A230="","",IF(E230="Disponível","Sim","Não"))</f>
        <v/>
      </c>
    </row>
    <row r="231" customFormat="false" ht="15" hidden="false" customHeight="true" outlineLevel="0" collapsed="false">
      <c r="D231" s="14"/>
      <c r="F231" s="11"/>
      <c r="H231" s="5" t="str">
        <f aca="false">IF(A231="","",IF(E231="Disponível","Sim","Não"))</f>
        <v/>
      </c>
    </row>
    <row r="232" customFormat="false" ht="15" hidden="false" customHeight="true" outlineLevel="0" collapsed="false">
      <c r="D232" s="14"/>
      <c r="F232" s="11"/>
      <c r="H232" s="5" t="str">
        <f aca="false">IF(A232="","",IF(E232="Disponível","Sim","Não"))</f>
        <v/>
      </c>
    </row>
    <row r="233" customFormat="false" ht="15" hidden="false" customHeight="true" outlineLevel="0" collapsed="false">
      <c r="D233" s="14"/>
      <c r="F233" s="11"/>
      <c r="H233" s="5" t="str">
        <f aca="false">IF(A233="","",IF(E233="Disponível","Sim","Não"))</f>
        <v/>
      </c>
    </row>
    <row r="234" customFormat="false" ht="15" hidden="false" customHeight="true" outlineLevel="0" collapsed="false">
      <c r="D234" s="14"/>
      <c r="F234" s="11"/>
      <c r="H234" s="5" t="str">
        <f aca="false">IF(A234="","",IF(E234="Disponível","Sim","Não"))</f>
        <v/>
      </c>
    </row>
    <row r="235" customFormat="false" ht="15" hidden="false" customHeight="true" outlineLevel="0" collapsed="false">
      <c r="D235" s="14"/>
      <c r="F235" s="11"/>
      <c r="H235" s="5" t="str">
        <f aca="false">IF(A235="","",IF(E235="Disponível","Sim","Não"))</f>
        <v/>
      </c>
    </row>
    <row r="236" customFormat="false" ht="15" hidden="false" customHeight="true" outlineLevel="0" collapsed="false">
      <c r="D236" s="14"/>
      <c r="F236" s="11"/>
      <c r="H236" s="5" t="str">
        <f aca="false">IF(A236="","",IF(E236="Disponível","Sim","Não"))</f>
        <v/>
      </c>
    </row>
    <row r="237" customFormat="false" ht="15" hidden="false" customHeight="true" outlineLevel="0" collapsed="false">
      <c r="D237" s="14"/>
      <c r="F237" s="11"/>
      <c r="H237" s="5" t="str">
        <f aca="false">IF(A237="","",IF(E237="Disponível","Sim","Não"))</f>
        <v/>
      </c>
    </row>
    <row r="238" customFormat="false" ht="15" hidden="false" customHeight="true" outlineLevel="0" collapsed="false">
      <c r="D238" s="14"/>
      <c r="F238" s="11"/>
      <c r="H238" s="5" t="str">
        <f aca="false">IF(A238="","",IF(E238="Disponível","Sim","Não"))</f>
        <v/>
      </c>
    </row>
    <row r="239" customFormat="false" ht="15" hidden="false" customHeight="true" outlineLevel="0" collapsed="false">
      <c r="D239" s="14"/>
      <c r="F239" s="11"/>
      <c r="H239" s="5" t="str">
        <f aca="false">IF(A239="","",IF(E239="Disponível","Sim","Não"))</f>
        <v/>
      </c>
    </row>
    <row r="240" customFormat="false" ht="15" hidden="false" customHeight="true" outlineLevel="0" collapsed="false">
      <c r="D240" s="14"/>
      <c r="F240" s="11"/>
      <c r="H240" s="5" t="str">
        <f aca="false">IF(A240="","",IF(E240="Disponível","Sim","Não"))</f>
        <v/>
      </c>
    </row>
    <row r="241" customFormat="false" ht="15" hidden="false" customHeight="true" outlineLevel="0" collapsed="false">
      <c r="D241" s="14"/>
      <c r="F241" s="11"/>
      <c r="H241" s="5" t="str">
        <f aca="false">IF(A241="","",IF(E241="Disponível","Sim","Não"))</f>
        <v/>
      </c>
    </row>
    <row r="242" customFormat="false" ht="15" hidden="false" customHeight="true" outlineLevel="0" collapsed="false">
      <c r="D242" s="14"/>
      <c r="F242" s="11"/>
      <c r="H242" s="5" t="str">
        <f aca="false">IF(A242="","",IF(E242="Disponível","Sim","Não"))</f>
        <v/>
      </c>
    </row>
    <row r="243" customFormat="false" ht="15" hidden="false" customHeight="true" outlineLevel="0" collapsed="false">
      <c r="D243" s="14"/>
      <c r="F243" s="11"/>
      <c r="H243" s="5" t="str">
        <f aca="false">IF(A243="","",IF(E243="Disponível","Sim","Não"))</f>
        <v/>
      </c>
    </row>
    <row r="244" customFormat="false" ht="15" hidden="false" customHeight="true" outlineLevel="0" collapsed="false">
      <c r="D244" s="14"/>
      <c r="F244" s="11"/>
      <c r="H244" s="5" t="str">
        <f aca="false">IF(A244="","",IF(E244="Disponível","Sim","Não"))</f>
        <v/>
      </c>
    </row>
    <row r="245" customFormat="false" ht="15" hidden="false" customHeight="true" outlineLevel="0" collapsed="false">
      <c r="D245" s="14"/>
      <c r="F245" s="11"/>
      <c r="H245" s="5" t="str">
        <f aca="false">IF(A245="","",IF(E245="Disponível","Sim","Não"))</f>
        <v/>
      </c>
    </row>
    <row r="246" customFormat="false" ht="15" hidden="false" customHeight="true" outlineLevel="0" collapsed="false">
      <c r="D246" s="14"/>
      <c r="F246" s="11"/>
      <c r="H246" s="5" t="str">
        <f aca="false">IF(A246="","",IF(E246="Disponível","Sim","Não"))</f>
        <v/>
      </c>
    </row>
    <row r="247" customFormat="false" ht="15" hidden="false" customHeight="true" outlineLevel="0" collapsed="false">
      <c r="D247" s="14"/>
      <c r="F247" s="11"/>
      <c r="H247" s="5" t="str">
        <f aca="false">IF(A247="","",IF(E247="Disponível","Sim","Não"))</f>
        <v/>
      </c>
    </row>
    <row r="248" customFormat="false" ht="15" hidden="false" customHeight="true" outlineLevel="0" collapsed="false">
      <c r="D248" s="14"/>
      <c r="F248" s="11"/>
      <c r="H248" s="5" t="str">
        <f aca="false">IF(A248="","",IF(E248="Disponível","Sim","Não"))</f>
        <v/>
      </c>
    </row>
    <row r="249" customFormat="false" ht="15" hidden="false" customHeight="true" outlineLevel="0" collapsed="false">
      <c r="D249" s="14"/>
      <c r="F249" s="11"/>
      <c r="H249" s="5" t="str">
        <f aca="false">IF(A249="","",IF(E249="Disponível","Sim","Não"))</f>
        <v/>
      </c>
    </row>
    <row r="250" customFormat="false" ht="15" hidden="false" customHeight="true" outlineLevel="0" collapsed="false">
      <c r="D250" s="14"/>
      <c r="F250" s="11"/>
      <c r="H250" s="5" t="str">
        <f aca="false">IF(A250="","",IF(E250="Disponível","Sim","Não"))</f>
        <v/>
      </c>
    </row>
    <row r="251" customFormat="false" ht="15" hidden="false" customHeight="true" outlineLevel="0" collapsed="false">
      <c r="D251" s="14"/>
      <c r="F251" s="11"/>
      <c r="H251" s="5" t="str">
        <f aca="false">IF(A251="","",IF(E251="Disponível","Sim","Não"))</f>
        <v/>
      </c>
    </row>
    <row r="252" customFormat="false" ht="15" hidden="false" customHeight="true" outlineLevel="0" collapsed="false">
      <c r="D252" s="14"/>
      <c r="F252" s="11"/>
      <c r="H252" s="5" t="str">
        <f aca="false">IF(A252="","",IF(E252="Disponível","Sim","Não"))</f>
        <v/>
      </c>
    </row>
    <row r="253" customFormat="false" ht="15" hidden="false" customHeight="true" outlineLevel="0" collapsed="false">
      <c r="D253" s="14"/>
      <c r="F253" s="11"/>
      <c r="H253" s="5" t="str">
        <f aca="false">IF(A253="","",IF(E253="Disponível","Sim","Não"))</f>
        <v/>
      </c>
    </row>
    <row r="254" customFormat="false" ht="15" hidden="false" customHeight="true" outlineLevel="0" collapsed="false">
      <c r="D254" s="14"/>
      <c r="F254" s="11"/>
      <c r="H254" s="5" t="str">
        <f aca="false">IF(A254="","",IF(E254="Disponível","Sim","Não"))</f>
        <v/>
      </c>
    </row>
    <row r="255" customFormat="false" ht="15" hidden="false" customHeight="true" outlineLevel="0" collapsed="false">
      <c r="D255" s="14"/>
      <c r="F255" s="11"/>
      <c r="H255" s="5" t="str">
        <f aca="false">IF(A255="","",IF(E255="Disponível","Sim","Não"))</f>
        <v/>
      </c>
    </row>
    <row r="256" customFormat="false" ht="15" hidden="false" customHeight="true" outlineLevel="0" collapsed="false">
      <c r="D256" s="14"/>
      <c r="F256" s="11"/>
      <c r="H256" s="5" t="str">
        <f aca="false">IF(A256="","",IF(E256="Disponível","Sim","Não"))</f>
        <v/>
      </c>
    </row>
    <row r="257" customFormat="false" ht="15" hidden="false" customHeight="true" outlineLevel="0" collapsed="false">
      <c r="D257" s="14"/>
      <c r="F257" s="11"/>
      <c r="H257" s="5" t="str">
        <f aca="false">IF(A257="","",IF(E257="Disponível","Sim","Não"))</f>
        <v/>
      </c>
    </row>
    <row r="258" customFormat="false" ht="15" hidden="false" customHeight="true" outlineLevel="0" collapsed="false">
      <c r="D258" s="14"/>
      <c r="F258" s="11"/>
      <c r="H258" s="5" t="str">
        <f aca="false">IF(A258="","",IF(E258="Disponível","Sim","Não"))</f>
        <v/>
      </c>
    </row>
    <row r="259" customFormat="false" ht="15" hidden="false" customHeight="true" outlineLevel="0" collapsed="false">
      <c r="D259" s="14"/>
      <c r="F259" s="11"/>
      <c r="H259" s="5" t="str">
        <f aca="false">IF(A259="","",IF(E259="Disponível","Sim","Não"))</f>
        <v/>
      </c>
    </row>
    <row r="260" customFormat="false" ht="15" hidden="false" customHeight="true" outlineLevel="0" collapsed="false">
      <c r="D260" s="14"/>
      <c r="F260" s="11"/>
      <c r="H260" s="5" t="str">
        <f aca="false">IF(A260="","",IF(E260="Disponível","Sim","Não"))</f>
        <v/>
      </c>
    </row>
    <row r="261" customFormat="false" ht="15" hidden="false" customHeight="true" outlineLevel="0" collapsed="false">
      <c r="D261" s="14"/>
      <c r="F261" s="11"/>
      <c r="H261" s="5" t="str">
        <f aca="false">IF(A261="","",IF(E261="Disponível","Sim","Não"))</f>
        <v/>
      </c>
    </row>
    <row r="262" customFormat="false" ht="15" hidden="false" customHeight="true" outlineLevel="0" collapsed="false">
      <c r="D262" s="14"/>
      <c r="F262" s="11"/>
      <c r="H262" s="5" t="str">
        <f aca="false">IF(A262="","",IF(E262="Disponível","Sim","Não"))</f>
        <v/>
      </c>
    </row>
    <row r="263" customFormat="false" ht="15" hidden="false" customHeight="true" outlineLevel="0" collapsed="false">
      <c r="D263" s="14"/>
      <c r="F263" s="11"/>
      <c r="H263" s="5" t="str">
        <f aca="false">IF(A263="","",IF(E263="Disponível","Sim","Não"))</f>
        <v/>
      </c>
    </row>
    <row r="264" customFormat="false" ht="15" hidden="false" customHeight="true" outlineLevel="0" collapsed="false">
      <c r="D264" s="14"/>
      <c r="F264" s="11"/>
      <c r="H264" s="5" t="str">
        <f aca="false">IF(A264="","",IF(E264="Disponível","Sim","Não"))</f>
        <v/>
      </c>
    </row>
    <row r="265" customFormat="false" ht="15" hidden="false" customHeight="true" outlineLevel="0" collapsed="false">
      <c r="D265" s="14"/>
      <c r="F265" s="11"/>
      <c r="H265" s="5" t="str">
        <f aca="false">IF(A265="","",IF(E265="Disponível","Sim","Não"))</f>
        <v/>
      </c>
    </row>
    <row r="266" customFormat="false" ht="15" hidden="false" customHeight="true" outlineLevel="0" collapsed="false">
      <c r="D266" s="14"/>
      <c r="F266" s="11"/>
      <c r="H266" s="5" t="str">
        <f aca="false">IF(A266="","",IF(E266="Disponível","Sim","Não"))</f>
        <v/>
      </c>
    </row>
    <row r="267" customFormat="false" ht="15" hidden="false" customHeight="true" outlineLevel="0" collapsed="false">
      <c r="D267" s="14"/>
      <c r="F267" s="11"/>
      <c r="H267" s="5" t="str">
        <f aca="false">IF(A267="","",IF(E267="Disponível","Sim","Não"))</f>
        <v/>
      </c>
    </row>
    <row r="268" customFormat="false" ht="15" hidden="false" customHeight="true" outlineLevel="0" collapsed="false">
      <c r="D268" s="14"/>
      <c r="F268" s="11"/>
      <c r="H268" s="5" t="str">
        <f aca="false">IF(A268="","",IF(E268="Disponível","Sim","Não"))</f>
        <v/>
      </c>
    </row>
    <row r="269" customFormat="false" ht="15" hidden="false" customHeight="true" outlineLevel="0" collapsed="false">
      <c r="D269" s="14"/>
      <c r="F269" s="11"/>
      <c r="H269" s="5" t="str">
        <f aca="false">IF(A269="","",IF(E269="Disponível","Sim","Não"))</f>
        <v/>
      </c>
    </row>
    <row r="270" customFormat="false" ht="15" hidden="false" customHeight="true" outlineLevel="0" collapsed="false">
      <c r="D270" s="14"/>
      <c r="F270" s="11"/>
      <c r="H270" s="5" t="str">
        <f aca="false">IF(A270="","",IF(E270="Disponível","Sim","Não"))</f>
        <v/>
      </c>
    </row>
    <row r="271" customFormat="false" ht="15" hidden="false" customHeight="true" outlineLevel="0" collapsed="false">
      <c r="D271" s="14"/>
      <c r="F271" s="11"/>
      <c r="H271" s="5" t="str">
        <f aca="false">IF(A271="","",IF(E271="Disponível","Sim","Não"))</f>
        <v/>
      </c>
    </row>
    <row r="272" customFormat="false" ht="15" hidden="false" customHeight="true" outlineLevel="0" collapsed="false">
      <c r="D272" s="14"/>
      <c r="F272" s="11"/>
      <c r="H272" s="5" t="str">
        <f aca="false">IF(A272="","",IF(E272="Disponível","Sim","Não"))</f>
        <v/>
      </c>
    </row>
    <row r="273" customFormat="false" ht="15" hidden="false" customHeight="true" outlineLevel="0" collapsed="false">
      <c r="D273" s="14"/>
      <c r="F273" s="11"/>
      <c r="H273" s="5" t="str">
        <f aca="false">IF(A273="","",IF(E273="Disponível","Sim","Não"))</f>
        <v/>
      </c>
    </row>
    <row r="274" customFormat="false" ht="15" hidden="false" customHeight="true" outlineLevel="0" collapsed="false">
      <c r="D274" s="14"/>
      <c r="F274" s="11"/>
      <c r="H274" s="5" t="str">
        <f aca="false">IF(A274="","",IF(E274="Disponível","Sim","Não"))</f>
        <v/>
      </c>
    </row>
    <row r="275" customFormat="false" ht="15" hidden="false" customHeight="true" outlineLevel="0" collapsed="false">
      <c r="D275" s="14"/>
      <c r="F275" s="11"/>
      <c r="H275" s="5" t="str">
        <f aca="false">IF(A275="","",IF(E275="Disponível","Sim","Não"))</f>
        <v/>
      </c>
    </row>
    <row r="276" customFormat="false" ht="15" hidden="false" customHeight="true" outlineLevel="0" collapsed="false">
      <c r="D276" s="14"/>
      <c r="F276" s="11"/>
      <c r="H276" s="5" t="str">
        <f aca="false">IF(A276="","",IF(E276="Disponível","Sim","Não"))</f>
        <v/>
      </c>
    </row>
    <row r="277" customFormat="false" ht="15" hidden="false" customHeight="true" outlineLevel="0" collapsed="false">
      <c r="D277" s="14"/>
      <c r="F277" s="11"/>
      <c r="H277" s="5" t="str">
        <f aca="false">IF(A277="","",IF(E277="Disponível","Sim","Não"))</f>
        <v/>
      </c>
    </row>
    <row r="278" customFormat="false" ht="15" hidden="false" customHeight="true" outlineLevel="0" collapsed="false">
      <c r="D278" s="14"/>
      <c r="F278" s="11"/>
      <c r="H278" s="5" t="str">
        <f aca="false">IF(A278="","",IF(E278="Disponível","Sim","Não"))</f>
        <v/>
      </c>
    </row>
    <row r="279" customFormat="false" ht="15" hidden="false" customHeight="true" outlineLevel="0" collapsed="false">
      <c r="D279" s="14"/>
      <c r="F279" s="11"/>
      <c r="H279" s="5" t="str">
        <f aca="false">IF(A279="","",IF(E279="Disponível","Sim","Não"))</f>
        <v/>
      </c>
    </row>
    <row r="280" customFormat="false" ht="15" hidden="false" customHeight="true" outlineLevel="0" collapsed="false">
      <c r="D280" s="14"/>
      <c r="F280" s="11"/>
      <c r="H280" s="5" t="str">
        <f aca="false">IF(A280="","",IF(E280="Disponível","Sim","Não"))</f>
        <v/>
      </c>
    </row>
    <row r="281" customFormat="false" ht="15" hidden="false" customHeight="true" outlineLevel="0" collapsed="false">
      <c r="D281" s="14"/>
      <c r="F281" s="11"/>
      <c r="H281" s="5" t="str">
        <f aca="false">IF(A281="","",IF(E281="Disponível","Sim","Não"))</f>
        <v/>
      </c>
    </row>
    <row r="282" customFormat="false" ht="15" hidden="false" customHeight="true" outlineLevel="0" collapsed="false">
      <c r="D282" s="14"/>
      <c r="F282" s="11"/>
      <c r="H282" s="5" t="str">
        <f aca="false">IF(A282="","",IF(E282="Disponível","Sim","Não"))</f>
        <v/>
      </c>
    </row>
    <row r="283" customFormat="false" ht="15" hidden="false" customHeight="true" outlineLevel="0" collapsed="false">
      <c r="D283" s="14"/>
      <c r="F283" s="11"/>
      <c r="H283" s="5" t="str">
        <f aca="false">IF(A283="","",IF(E283="Disponível","Sim","Não"))</f>
        <v/>
      </c>
    </row>
    <row r="284" customFormat="false" ht="15" hidden="false" customHeight="true" outlineLevel="0" collapsed="false">
      <c r="D284" s="14"/>
      <c r="F284" s="11"/>
      <c r="H284" s="5" t="str">
        <f aca="false">IF(A284="","",IF(E284="Disponível","Sim","Não"))</f>
        <v/>
      </c>
    </row>
    <row r="285" customFormat="false" ht="15" hidden="false" customHeight="true" outlineLevel="0" collapsed="false">
      <c r="D285" s="14"/>
      <c r="F285" s="11"/>
      <c r="H285" s="5" t="str">
        <f aca="false">IF(A285="","",IF(E285="Disponível","Sim","Não"))</f>
        <v/>
      </c>
    </row>
    <row r="286" customFormat="false" ht="15" hidden="false" customHeight="true" outlineLevel="0" collapsed="false">
      <c r="D286" s="14"/>
      <c r="F286" s="11"/>
      <c r="H286" s="5" t="str">
        <f aca="false">IF(A286="","",IF(E286="Disponível","Sim","Não"))</f>
        <v/>
      </c>
    </row>
    <row r="287" customFormat="false" ht="15" hidden="false" customHeight="true" outlineLevel="0" collapsed="false">
      <c r="D287" s="14"/>
      <c r="F287" s="11"/>
      <c r="H287" s="5" t="str">
        <f aca="false">IF(A287="","",IF(E287="Disponível","Sim","Não"))</f>
        <v/>
      </c>
    </row>
    <row r="288" customFormat="false" ht="15" hidden="false" customHeight="true" outlineLevel="0" collapsed="false">
      <c r="D288" s="14"/>
      <c r="F288" s="11"/>
      <c r="H288" s="5" t="str">
        <f aca="false">IF(A288="","",IF(E288="Disponível","Sim","Não"))</f>
        <v/>
      </c>
    </row>
    <row r="289" customFormat="false" ht="15" hidden="false" customHeight="true" outlineLevel="0" collapsed="false">
      <c r="D289" s="14"/>
      <c r="F289" s="11"/>
      <c r="H289" s="5" t="str">
        <f aca="false">IF(A289="","",IF(E289="Disponível","Sim","Não"))</f>
        <v/>
      </c>
    </row>
    <row r="290" customFormat="false" ht="15" hidden="false" customHeight="true" outlineLevel="0" collapsed="false">
      <c r="D290" s="14"/>
      <c r="F290" s="11"/>
      <c r="H290" s="5" t="str">
        <f aca="false">IF(A290="","",IF(E290="Disponível","Sim","Não"))</f>
        <v/>
      </c>
    </row>
    <row r="291" customFormat="false" ht="15" hidden="false" customHeight="true" outlineLevel="0" collapsed="false">
      <c r="D291" s="14"/>
      <c r="F291" s="11"/>
      <c r="H291" s="5" t="str">
        <f aca="false">IF(A291="","",IF(E291="Disponível","Sim","Não"))</f>
        <v/>
      </c>
    </row>
    <row r="292" customFormat="false" ht="15" hidden="false" customHeight="true" outlineLevel="0" collapsed="false">
      <c r="D292" s="14"/>
      <c r="F292" s="11"/>
      <c r="H292" s="5" t="str">
        <f aca="false">IF(A292="","",IF(E292="Disponível","Sim","Não"))</f>
        <v/>
      </c>
    </row>
    <row r="293" customFormat="false" ht="15" hidden="false" customHeight="true" outlineLevel="0" collapsed="false">
      <c r="D293" s="14"/>
      <c r="F293" s="11"/>
      <c r="H293" s="5" t="str">
        <f aca="false">IF(A293="","",IF(E293="Disponível","Sim","Não"))</f>
        <v/>
      </c>
    </row>
    <row r="294" customFormat="false" ht="15" hidden="false" customHeight="true" outlineLevel="0" collapsed="false">
      <c r="D294" s="14"/>
      <c r="F294" s="11"/>
      <c r="H294" s="5" t="str">
        <f aca="false">IF(A294="","",IF(E294="Disponível","Sim","Não"))</f>
        <v/>
      </c>
    </row>
    <row r="295" customFormat="false" ht="15" hidden="false" customHeight="true" outlineLevel="0" collapsed="false">
      <c r="D295" s="14"/>
      <c r="F295" s="11"/>
      <c r="H295" s="5" t="str">
        <f aca="false">IF(A295="","",IF(E295="Disponível","Sim","Não"))</f>
        <v/>
      </c>
    </row>
    <row r="296" customFormat="false" ht="15" hidden="false" customHeight="true" outlineLevel="0" collapsed="false">
      <c r="D296" s="14"/>
      <c r="F296" s="11"/>
      <c r="H296" s="5" t="str">
        <f aca="false">IF(A296="","",IF(E296="Disponível","Sim","Não"))</f>
        <v/>
      </c>
    </row>
    <row r="297" customFormat="false" ht="15" hidden="false" customHeight="true" outlineLevel="0" collapsed="false">
      <c r="D297" s="14"/>
      <c r="F297" s="11"/>
      <c r="H297" s="5" t="str">
        <f aca="false">IF(A297="","",IF(E297="Disponível","Sim","Não"))</f>
        <v/>
      </c>
    </row>
    <row r="298" customFormat="false" ht="15" hidden="false" customHeight="true" outlineLevel="0" collapsed="false">
      <c r="D298" s="14"/>
      <c r="F298" s="11"/>
      <c r="H298" s="5" t="str">
        <f aca="false">IF(A298="","",IF(E298="Disponível","Sim","Não"))</f>
        <v/>
      </c>
    </row>
    <row r="299" customFormat="false" ht="15" hidden="false" customHeight="true" outlineLevel="0" collapsed="false">
      <c r="D299" s="14"/>
      <c r="F299" s="11"/>
      <c r="H299" s="5" t="str">
        <f aca="false">IF(A299="","",IF(E299="Disponível","Sim","Não"))</f>
        <v/>
      </c>
    </row>
    <row r="300" customFormat="false" ht="15" hidden="false" customHeight="true" outlineLevel="0" collapsed="false">
      <c r="D300" s="14"/>
      <c r="F300" s="11"/>
      <c r="H300" s="5" t="str">
        <f aca="false">IF(A300="","",IF(E300="Disponível","Sim","Não"))</f>
        <v/>
      </c>
    </row>
  </sheetData>
  <autoFilter ref="A1:I300"/>
  <conditionalFormatting sqref="A2:I300">
    <cfRule type="expression" priority="2" aboveAverage="0" equalAverage="0" bottom="0" percent="0" rank="0" text="" dxfId="7">
      <formula>$E2="Disponível"</formula>
    </cfRule>
    <cfRule type="expression" priority="3" aboveAverage="0" equalAverage="0" bottom="0" percent="0" rank="0" text="" dxfId="8">
      <formula>$E2="Alugado"</formula>
    </cfRule>
    <cfRule type="expression" priority="4" aboveAverage="0" equalAverage="0" bottom="0" percent="0" rank="0" text="" dxfId="9">
      <formula>$E2="Em manutenção"</formula>
    </cfRule>
    <cfRule type="expression" priority="5" aboveAverage="0" equalAverage="0" bottom="0" percent="0" rank="0" text="" dxfId="10">
      <formula>$E2="Inativo"</formula>
    </cfRule>
  </conditionalFormatting>
  <dataValidations count="1">
    <dataValidation allowBlank="true" error="Escolha um status da lista" errorStyle="stop" operator="between" showDropDown="false" showErrorMessage="true" showInputMessage="false" sqref="E2:E300" type="list">
      <formula1>Listas!$A$2:$A$5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3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10" min="10" style="1" width="20"/>
    <col collapsed="false" customWidth="true" hidden="false" outlineLevel="0" max="11" min="11" style="1" width="24"/>
  </cols>
  <sheetData>
    <row r="1" customFormat="false" ht="33.75" hidden="false" customHeight="true" outlineLevel="0" collapsed="false">
      <c r="A1" s="9" t="s">
        <v>83</v>
      </c>
      <c r="B1" s="9" t="s">
        <v>29</v>
      </c>
      <c r="C1" s="9" t="s">
        <v>76</v>
      </c>
      <c r="D1" s="9" t="s">
        <v>58</v>
      </c>
      <c r="E1" s="9" t="s">
        <v>37</v>
      </c>
      <c r="F1" s="9" t="s">
        <v>38</v>
      </c>
      <c r="G1" s="9" t="s">
        <v>39</v>
      </c>
      <c r="H1" s="9" t="s">
        <v>40</v>
      </c>
      <c r="J1" s="4" t="s">
        <v>84</v>
      </c>
      <c r="K1" s="4" t="s">
        <v>60</v>
      </c>
    </row>
    <row r="2" customFormat="false" ht="15" hidden="false" customHeight="true" outlineLevel="0" collapsed="false">
      <c r="A2" s="7" t="s">
        <v>85</v>
      </c>
      <c r="B2" s="7" t="s">
        <v>86</v>
      </c>
      <c r="C2" s="7" t="s">
        <v>87</v>
      </c>
      <c r="D2" s="12" t="n">
        <v>40</v>
      </c>
      <c r="E2" s="7" t="s">
        <v>17</v>
      </c>
      <c r="F2" s="10"/>
      <c r="G2" s="7"/>
      <c r="J2" s="5" t="str">
        <f aca="false">COUNTIF($E:$E,"Disponível")&amp;" de "&amp;COUNTA($A$2:$A$300)</f>
        <v>2 de 2</v>
      </c>
      <c r="K2" s="5" t="str">
        <f aca="false">IF(COUNTIF($E:$E,"Disponível")&gt;0,"Sim","Não")</f>
        <v>Sim</v>
      </c>
    </row>
    <row r="3" customFormat="false" ht="15" hidden="false" customHeight="true" outlineLevel="0" collapsed="false">
      <c r="A3" s="7" t="s">
        <v>88</v>
      </c>
      <c r="B3" s="7" t="s">
        <v>86</v>
      </c>
      <c r="C3" s="7" t="s">
        <v>87</v>
      </c>
      <c r="D3" s="12" t="n">
        <v>40</v>
      </c>
      <c r="E3" s="7" t="s">
        <v>17</v>
      </c>
      <c r="F3" s="10"/>
      <c r="G3" s="7"/>
    </row>
    <row r="4" customFormat="false" ht="15" hidden="false" customHeight="true" outlineLevel="0" collapsed="false">
      <c r="D4" s="14"/>
      <c r="F4" s="11"/>
    </row>
    <row r="5" customFormat="false" ht="15" hidden="false" customHeight="true" outlineLevel="0" collapsed="false">
      <c r="D5" s="14"/>
      <c r="F5" s="11"/>
    </row>
    <row r="6" customFormat="false" ht="15" hidden="false" customHeight="true" outlineLevel="0" collapsed="false">
      <c r="D6" s="14"/>
      <c r="F6" s="11"/>
    </row>
    <row r="7" customFormat="false" ht="15" hidden="false" customHeight="true" outlineLevel="0" collapsed="false">
      <c r="D7" s="14"/>
      <c r="F7" s="11"/>
    </row>
    <row r="8" customFormat="false" ht="15" hidden="false" customHeight="true" outlineLevel="0" collapsed="false">
      <c r="D8" s="14"/>
      <c r="F8" s="11"/>
    </row>
    <row r="9" customFormat="false" ht="15" hidden="false" customHeight="true" outlineLevel="0" collapsed="false">
      <c r="D9" s="14"/>
      <c r="F9" s="11"/>
    </row>
    <row r="10" customFormat="false" ht="15" hidden="false" customHeight="true" outlineLevel="0" collapsed="false">
      <c r="D10" s="14"/>
      <c r="F10" s="11"/>
    </row>
    <row r="11" customFormat="false" ht="15" hidden="false" customHeight="true" outlineLevel="0" collapsed="false">
      <c r="D11" s="14"/>
      <c r="F11" s="11"/>
    </row>
    <row r="12" customFormat="false" ht="15" hidden="false" customHeight="true" outlineLevel="0" collapsed="false">
      <c r="D12" s="14"/>
      <c r="F12" s="11"/>
    </row>
    <row r="13" customFormat="false" ht="15" hidden="false" customHeight="true" outlineLevel="0" collapsed="false">
      <c r="D13" s="14"/>
      <c r="F13" s="11"/>
    </row>
    <row r="14" customFormat="false" ht="15" hidden="false" customHeight="true" outlineLevel="0" collapsed="false">
      <c r="D14" s="14"/>
      <c r="F14" s="11"/>
    </row>
    <row r="15" customFormat="false" ht="15" hidden="false" customHeight="true" outlineLevel="0" collapsed="false">
      <c r="D15" s="14"/>
      <c r="F15" s="11"/>
    </row>
    <row r="16" customFormat="false" ht="15" hidden="false" customHeight="true" outlineLevel="0" collapsed="false">
      <c r="D16" s="14"/>
      <c r="F16" s="11"/>
    </row>
    <row r="17" customFormat="false" ht="15" hidden="false" customHeight="true" outlineLevel="0" collapsed="false">
      <c r="D17" s="14"/>
      <c r="F17" s="11"/>
    </row>
    <row r="18" customFormat="false" ht="15" hidden="false" customHeight="true" outlineLevel="0" collapsed="false">
      <c r="D18" s="14"/>
      <c r="F18" s="11"/>
    </row>
    <row r="19" customFormat="false" ht="15" hidden="false" customHeight="true" outlineLevel="0" collapsed="false">
      <c r="D19" s="14"/>
      <c r="F19" s="11"/>
    </row>
    <row r="20" customFormat="false" ht="15" hidden="false" customHeight="true" outlineLevel="0" collapsed="false">
      <c r="D20" s="14"/>
      <c r="F20" s="11"/>
    </row>
    <row r="21" customFormat="false" ht="15" hidden="false" customHeight="true" outlineLevel="0" collapsed="false">
      <c r="D21" s="14"/>
      <c r="F21" s="11"/>
    </row>
    <row r="22" customFormat="false" ht="15" hidden="false" customHeight="true" outlineLevel="0" collapsed="false">
      <c r="D22" s="14"/>
      <c r="F22" s="11"/>
    </row>
    <row r="23" customFormat="false" ht="15" hidden="false" customHeight="true" outlineLevel="0" collapsed="false">
      <c r="D23" s="14"/>
      <c r="F23" s="11"/>
    </row>
    <row r="24" customFormat="false" ht="15" hidden="false" customHeight="true" outlineLevel="0" collapsed="false">
      <c r="D24" s="14"/>
      <c r="F24" s="11"/>
    </row>
    <row r="25" customFormat="false" ht="15" hidden="false" customHeight="true" outlineLevel="0" collapsed="false">
      <c r="D25" s="14"/>
      <c r="F25" s="11"/>
    </row>
    <row r="26" customFormat="false" ht="15" hidden="false" customHeight="true" outlineLevel="0" collapsed="false">
      <c r="D26" s="14"/>
      <c r="F26" s="11"/>
    </row>
    <row r="27" customFormat="false" ht="15" hidden="false" customHeight="true" outlineLevel="0" collapsed="false">
      <c r="D27" s="14"/>
      <c r="F27" s="11"/>
    </row>
    <row r="28" customFormat="false" ht="15" hidden="false" customHeight="true" outlineLevel="0" collapsed="false">
      <c r="D28" s="14"/>
      <c r="F28" s="11"/>
    </row>
    <row r="29" customFormat="false" ht="15" hidden="false" customHeight="true" outlineLevel="0" collapsed="false">
      <c r="D29" s="14"/>
      <c r="F29" s="11"/>
    </row>
    <row r="30" customFormat="false" ht="15" hidden="false" customHeight="true" outlineLevel="0" collapsed="false">
      <c r="D30" s="14"/>
      <c r="F30" s="11"/>
    </row>
    <row r="31" customFormat="false" ht="15" hidden="false" customHeight="true" outlineLevel="0" collapsed="false">
      <c r="D31" s="14"/>
      <c r="F31" s="11"/>
    </row>
    <row r="32" customFormat="false" ht="15" hidden="false" customHeight="true" outlineLevel="0" collapsed="false">
      <c r="D32" s="14"/>
      <c r="F32" s="11"/>
    </row>
    <row r="33" customFormat="false" ht="15" hidden="false" customHeight="true" outlineLevel="0" collapsed="false">
      <c r="D33" s="14"/>
      <c r="F33" s="11"/>
    </row>
    <row r="34" customFormat="false" ht="15" hidden="false" customHeight="true" outlineLevel="0" collapsed="false">
      <c r="D34" s="14"/>
      <c r="F34" s="11"/>
    </row>
    <row r="35" customFormat="false" ht="15" hidden="false" customHeight="true" outlineLevel="0" collapsed="false">
      <c r="D35" s="14"/>
      <c r="F35" s="11"/>
    </row>
    <row r="36" customFormat="false" ht="15" hidden="false" customHeight="true" outlineLevel="0" collapsed="false">
      <c r="D36" s="14"/>
      <c r="F36" s="11"/>
    </row>
    <row r="37" customFormat="false" ht="15" hidden="false" customHeight="true" outlineLevel="0" collapsed="false">
      <c r="D37" s="14"/>
      <c r="F37" s="11"/>
    </row>
    <row r="38" customFormat="false" ht="15" hidden="false" customHeight="true" outlineLevel="0" collapsed="false">
      <c r="D38" s="14"/>
      <c r="F38" s="11"/>
    </row>
    <row r="39" customFormat="false" ht="15" hidden="false" customHeight="true" outlineLevel="0" collapsed="false">
      <c r="D39" s="14"/>
      <c r="F39" s="11"/>
    </row>
    <row r="40" customFormat="false" ht="15" hidden="false" customHeight="true" outlineLevel="0" collapsed="false">
      <c r="D40" s="14"/>
      <c r="F40" s="11"/>
    </row>
    <row r="41" customFormat="false" ht="15" hidden="false" customHeight="true" outlineLevel="0" collapsed="false">
      <c r="D41" s="14"/>
      <c r="F41" s="11"/>
    </row>
    <row r="42" customFormat="false" ht="15" hidden="false" customHeight="true" outlineLevel="0" collapsed="false">
      <c r="D42" s="14"/>
      <c r="F42" s="11"/>
    </row>
    <row r="43" customFormat="false" ht="15" hidden="false" customHeight="true" outlineLevel="0" collapsed="false">
      <c r="D43" s="14"/>
      <c r="F43" s="11"/>
    </row>
    <row r="44" customFormat="false" ht="15" hidden="false" customHeight="true" outlineLevel="0" collapsed="false">
      <c r="D44" s="14"/>
      <c r="F44" s="11"/>
    </row>
    <row r="45" customFormat="false" ht="15" hidden="false" customHeight="true" outlineLevel="0" collapsed="false">
      <c r="D45" s="14"/>
      <c r="F45" s="11"/>
    </row>
    <row r="46" customFormat="false" ht="15" hidden="false" customHeight="true" outlineLevel="0" collapsed="false">
      <c r="D46" s="14"/>
      <c r="F46" s="11"/>
    </row>
    <row r="47" customFormat="false" ht="15" hidden="false" customHeight="true" outlineLevel="0" collapsed="false">
      <c r="D47" s="14"/>
      <c r="F47" s="11"/>
    </row>
    <row r="48" customFormat="false" ht="15" hidden="false" customHeight="true" outlineLevel="0" collapsed="false">
      <c r="D48" s="14"/>
      <c r="F48" s="11"/>
    </row>
    <row r="49" customFormat="false" ht="15" hidden="false" customHeight="true" outlineLevel="0" collapsed="false">
      <c r="D49" s="14"/>
      <c r="F49" s="11"/>
    </row>
    <row r="50" customFormat="false" ht="15" hidden="false" customHeight="true" outlineLevel="0" collapsed="false">
      <c r="D50" s="14"/>
      <c r="F50" s="11"/>
    </row>
    <row r="51" customFormat="false" ht="15" hidden="false" customHeight="true" outlineLevel="0" collapsed="false">
      <c r="D51" s="14"/>
      <c r="F51" s="11"/>
    </row>
    <row r="52" customFormat="false" ht="15" hidden="false" customHeight="true" outlineLevel="0" collapsed="false">
      <c r="D52" s="14"/>
      <c r="F52" s="11"/>
    </row>
    <row r="53" customFormat="false" ht="15" hidden="false" customHeight="true" outlineLevel="0" collapsed="false">
      <c r="D53" s="14"/>
      <c r="F53" s="11"/>
    </row>
    <row r="54" customFormat="false" ht="15" hidden="false" customHeight="true" outlineLevel="0" collapsed="false">
      <c r="D54" s="14"/>
      <c r="F54" s="11"/>
    </row>
    <row r="55" customFormat="false" ht="15" hidden="false" customHeight="true" outlineLevel="0" collapsed="false">
      <c r="D55" s="14"/>
      <c r="F55" s="11"/>
    </row>
    <row r="56" customFormat="false" ht="15" hidden="false" customHeight="true" outlineLevel="0" collapsed="false">
      <c r="D56" s="14"/>
      <c r="F56" s="11"/>
    </row>
    <row r="57" customFormat="false" ht="15" hidden="false" customHeight="true" outlineLevel="0" collapsed="false">
      <c r="D57" s="14"/>
      <c r="F57" s="11"/>
    </row>
    <row r="58" customFormat="false" ht="15" hidden="false" customHeight="true" outlineLevel="0" collapsed="false">
      <c r="D58" s="14"/>
      <c r="F58" s="11"/>
    </row>
    <row r="59" customFormat="false" ht="15" hidden="false" customHeight="true" outlineLevel="0" collapsed="false">
      <c r="D59" s="14"/>
      <c r="F59" s="11"/>
    </row>
    <row r="60" customFormat="false" ht="15" hidden="false" customHeight="true" outlineLevel="0" collapsed="false">
      <c r="D60" s="14"/>
      <c r="F60" s="11"/>
    </row>
    <row r="61" customFormat="false" ht="15" hidden="false" customHeight="true" outlineLevel="0" collapsed="false">
      <c r="D61" s="14"/>
      <c r="F61" s="11"/>
    </row>
    <row r="62" customFormat="false" ht="15" hidden="false" customHeight="true" outlineLevel="0" collapsed="false">
      <c r="D62" s="14"/>
      <c r="F62" s="11"/>
    </row>
    <row r="63" customFormat="false" ht="15" hidden="false" customHeight="true" outlineLevel="0" collapsed="false">
      <c r="D63" s="14"/>
      <c r="F63" s="11"/>
    </row>
    <row r="64" customFormat="false" ht="15" hidden="false" customHeight="true" outlineLevel="0" collapsed="false">
      <c r="D64" s="14"/>
      <c r="F64" s="11"/>
    </row>
    <row r="65" customFormat="false" ht="15" hidden="false" customHeight="true" outlineLevel="0" collapsed="false">
      <c r="D65" s="14"/>
      <c r="F65" s="11"/>
    </row>
    <row r="66" customFormat="false" ht="15" hidden="false" customHeight="true" outlineLevel="0" collapsed="false">
      <c r="D66" s="14"/>
      <c r="F66" s="11"/>
    </row>
    <row r="67" customFormat="false" ht="15" hidden="false" customHeight="true" outlineLevel="0" collapsed="false">
      <c r="D67" s="14"/>
      <c r="F67" s="11"/>
    </row>
    <row r="68" customFormat="false" ht="15" hidden="false" customHeight="true" outlineLevel="0" collapsed="false">
      <c r="D68" s="14"/>
      <c r="F68" s="11"/>
    </row>
    <row r="69" customFormat="false" ht="15" hidden="false" customHeight="true" outlineLevel="0" collapsed="false">
      <c r="D69" s="14"/>
      <c r="F69" s="11"/>
    </row>
    <row r="70" customFormat="false" ht="15" hidden="false" customHeight="true" outlineLevel="0" collapsed="false">
      <c r="D70" s="14"/>
      <c r="F70" s="11"/>
    </row>
    <row r="71" customFormat="false" ht="15" hidden="false" customHeight="true" outlineLevel="0" collapsed="false">
      <c r="D71" s="14"/>
      <c r="F71" s="11"/>
    </row>
    <row r="72" customFormat="false" ht="15" hidden="false" customHeight="true" outlineLevel="0" collapsed="false">
      <c r="D72" s="14"/>
      <c r="F72" s="11"/>
    </row>
    <row r="73" customFormat="false" ht="15" hidden="false" customHeight="true" outlineLevel="0" collapsed="false">
      <c r="D73" s="14"/>
      <c r="F73" s="11"/>
    </row>
    <row r="74" customFormat="false" ht="15" hidden="false" customHeight="true" outlineLevel="0" collapsed="false">
      <c r="D74" s="14"/>
      <c r="F74" s="11"/>
    </row>
    <row r="75" customFormat="false" ht="15" hidden="false" customHeight="true" outlineLevel="0" collapsed="false">
      <c r="D75" s="14"/>
      <c r="F75" s="11"/>
    </row>
    <row r="76" customFormat="false" ht="15" hidden="false" customHeight="true" outlineLevel="0" collapsed="false">
      <c r="D76" s="14"/>
      <c r="F76" s="11"/>
    </row>
    <row r="77" customFormat="false" ht="15" hidden="false" customHeight="true" outlineLevel="0" collapsed="false">
      <c r="D77" s="14"/>
      <c r="F77" s="11"/>
    </row>
    <row r="78" customFormat="false" ht="15" hidden="false" customHeight="true" outlineLevel="0" collapsed="false">
      <c r="D78" s="14"/>
      <c r="F78" s="11"/>
    </row>
    <row r="79" customFormat="false" ht="15" hidden="false" customHeight="true" outlineLevel="0" collapsed="false">
      <c r="D79" s="14"/>
      <c r="F79" s="11"/>
    </row>
    <row r="80" customFormat="false" ht="15" hidden="false" customHeight="true" outlineLevel="0" collapsed="false">
      <c r="D80" s="14"/>
      <c r="F80" s="11"/>
    </row>
    <row r="81" customFormat="false" ht="15" hidden="false" customHeight="true" outlineLevel="0" collapsed="false">
      <c r="D81" s="14"/>
      <c r="F81" s="11"/>
    </row>
    <row r="82" customFormat="false" ht="15" hidden="false" customHeight="true" outlineLevel="0" collapsed="false">
      <c r="D82" s="14"/>
      <c r="F82" s="11"/>
    </row>
    <row r="83" customFormat="false" ht="15" hidden="false" customHeight="true" outlineLevel="0" collapsed="false">
      <c r="D83" s="14"/>
      <c r="F83" s="11"/>
    </row>
    <row r="84" customFormat="false" ht="15" hidden="false" customHeight="true" outlineLevel="0" collapsed="false">
      <c r="D84" s="14"/>
      <c r="F84" s="11"/>
    </row>
    <row r="85" customFormat="false" ht="15" hidden="false" customHeight="true" outlineLevel="0" collapsed="false">
      <c r="D85" s="14"/>
      <c r="F85" s="11"/>
    </row>
    <row r="86" customFormat="false" ht="15" hidden="false" customHeight="true" outlineLevel="0" collapsed="false">
      <c r="D86" s="14"/>
      <c r="F86" s="11"/>
    </row>
    <row r="87" customFormat="false" ht="15" hidden="false" customHeight="true" outlineLevel="0" collapsed="false">
      <c r="D87" s="14"/>
      <c r="F87" s="11"/>
    </row>
    <row r="88" customFormat="false" ht="15" hidden="false" customHeight="true" outlineLevel="0" collapsed="false">
      <c r="D88" s="14"/>
      <c r="F88" s="11"/>
    </row>
    <row r="89" customFormat="false" ht="15" hidden="false" customHeight="true" outlineLevel="0" collapsed="false">
      <c r="D89" s="14"/>
      <c r="F89" s="11"/>
    </row>
    <row r="90" customFormat="false" ht="15" hidden="false" customHeight="true" outlineLevel="0" collapsed="false">
      <c r="D90" s="14"/>
      <c r="F90" s="11"/>
    </row>
    <row r="91" customFormat="false" ht="15" hidden="false" customHeight="true" outlineLevel="0" collapsed="false">
      <c r="D91" s="14"/>
      <c r="F91" s="11"/>
    </row>
    <row r="92" customFormat="false" ht="15" hidden="false" customHeight="true" outlineLevel="0" collapsed="false">
      <c r="D92" s="14"/>
      <c r="F92" s="11"/>
    </row>
    <row r="93" customFormat="false" ht="15" hidden="false" customHeight="true" outlineLevel="0" collapsed="false">
      <c r="D93" s="14"/>
      <c r="F93" s="11"/>
    </row>
    <row r="94" customFormat="false" ht="15" hidden="false" customHeight="true" outlineLevel="0" collapsed="false">
      <c r="D94" s="14"/>
      <c r="F94" s="11"/>
    </row>
    <row r="95" customFormat="false" ht="15" hidden="false" customHeight="true" outlineLevel="0" collapsed="false">
      <c r="D95" s="14"/>
      <c r="F95" s="11"/>
    </row>
    <row r="96" customFormat="false" ht="15" hidden="false" customHeight="true" outlineLevel="0" collapsed="false">
      <c r="D96" s="14"/>
      <c r="F96" s="11"/>
    </row>
    <row r="97" customFormat="false" ht="15" hidden="false" customHeight="true" outlineLevel="0" collapsed="false">
      <c r="D97" s="14"/>
      <c r="F97" s="11"/>
    </row>
    <row r="98" customFormat="false" ht="15" hidden="false" customHeight="true" outlineLevel="0" collapsed="false">
      <c r="D98" s="14"/>
      <c r="F98" s="11"/>
    </row>
    <row r="99" customFormat="false" ht="15" hidden="false" customHeight="true" outlineLevel="0" collapsed="false">
      <c r="D99" s="14"/>
      <c r="F99" s="11"/>
    </row>
    <row r="100" customFormat="false" ht="15" hidden="false" customHeight="true" outlineLevel="0" collapsed="false">
      <c r="D100" s="14"/>
      <c r="F100" s="11"/>
    </row>
    <row r="101" customFormat="false" ht="15" hidden="false" customHeight="true" outlineLevel="0" collapsed="false">
      <c r="D101" s="14"/>
      <c r="F101" s="11"/>
    </row>
    <row r="102" customFormat="false" ht="15" hidden="false" customHeight="true" outlineLevel="0" collapsed="false">
      <c r="D102" s="14"/>
      <c r="F102" s="11"/>
    </row>
    <row r="103" customFormat="false" ht="15" hidden="false" customHeight="true" outlineLevel="0" collapsed="false">
      <c r="D103" s="14"/>
      <c r="F103" s="11"/>
    </row>
    <row r="104" customFormat="false" ht="15" hidden="false" customHeight="true" outlineLevel="0" collapsed="false">
      <c r="D104" s="14"/>
      <c r="F104" s="11"/>
    </row>
    <row r="105" customFormat="false" ht="15" hidden="false" customHeight="true" outlineLevel="0" collapsed="false">
      <c r="D105" s="14"/>
      <c r="F105" s="11"/>
    </row>
    <row r="106" customFormat="false" ht="15" hidden="false" customHeight="true" outlineLevel="0" collapsed="false">
      <c r="D106" s="14"/>
      <c r="F106" s="11"/>
    </row>
    <row r="107" customFormat="false" ht="15" hidden="false" customHeight="true" outlineLevel="0" collapsed="false">
      <c r="D107" s="14"/>
      <c r="F107" s="11"/>
    </row>
    <row r="108" customFormat="false" ht="15" hidden="false" customHeight="true" outlineLevel="0" collapsed="false">
      <c r="D108" s="14"/>
      <c r="F108" s="11"/>
    </row>
    <row r="109" customFormat="false" ht="15" hidden="false" customHeight="true" outlineLevel="0" collapsed="false">
      <c r="D109" s="14"/>
      <c r="F109" s="11"/>
    </row>
    <row r="110" customFormat="false" ht="15" hidden="false" customHeight="true" outlineLevel="0" collapsed="false">
      <c r="D110" s="14"/>
      <c r="F110" s="11"/>
    </row>
    <row r="111" customFormat="false" ht="15" hidden="false" customHeight="true" outlineLevel="0" collapsed="false">
      <c r="D111" s="14"/>
      <c r="F111" s="11"/>
    </row>
    <row r="112" customFormat="false" ht="15" hidden="false" customHeight="true" outlineLevel="0" collapsed="false">
      <c r="D112" s="14"/>
      <c r="F112" s="11"/>
    </row>
    <row r="113" customFormat="false" ht="15" hidden="false" customHeight="true" outlineLevel="0" collapsed="false">
      <c r="D113" s="14"/>
      <c r="F113" s="11"/>
    </row>
    <row r="114" customFormat="false" ht="15" hidden="false" customHeight="true" outlineLevel="0" collapsed="false">
      <c r="D114" s="14"/>
      <c r="F114" s="11"/>
    </row>
    <row r="115" customFormat="false" ht="15" hidden="false" customHeight="true" outlineLevel="0" collapsed="false">
      <c r="D115" s="14"/>
      <c r="F115" s="11"/>
    </row>
    <row r="116" customFormat="false" ht="15" hidden="false" customHeight="true" outlineLevel="0" collapsed="false">
      <c r="D116" s="14"/>
      <c r="F116" s="11"/>
    </row>
    <row r="117" customFormat="false" ht="15" hidden="false" customHeight="true" outlineLevel="0" collapsed="false">
      <c r="D117" s="14"/>
      <c r="F117" s="11"/>
    </row>
    <row r="118" customFormat="false" ht="15" hidden="false" customHeight="true" outlineLevel="0" collapsed="false">
      <c r="D118" s="14"/>
      <c r="F118" s="11"/>
    </row>
    <row r="119" customFormat="false" ht="15" hidden="false" customHeight="true" outlineLevel="0" collapsed="false">
      <c r="D119" s="14"/>
      <c r="F119" s="11"/>
    </row>
    <row r="120" customFormat="false" ht="15" hidden="false" customHeight="true" outlineLevel="0" collapsed="false">
      <c r="D120" s="14"/>
      <c r="F120" s="11"/>
    </row>
    <row r="121" customFormat="false" ht="15" hidden="false" customHeight="true" outlineLevel="0" collapsed="false">
      <c r="D121" s="14"/>
      <c r="F121" s="11"/>
    </row>
    <row r="122" customFormat="false" ht="15" hidden="false" customHeight="true" outlineLevel="0" collapsed="false">
      <c r="D122" s="14"/>
      <c r="F122" s="11"/>
    </row>
    <row r="123" customFormat="false" ht="15" hidden="false" customHeight="true" outlineLevel="0" collapsed="false">
      <c r="D123" s="14"/>
      <c r="F123" s="11"/>
    </row>
    <row r="124" customFormat="false" ht="15" hidden="false" customHeight="true" outlineLevel="0" collapsed="false">
      <c r="D124" s="14"/>
      <c r="F124" s="11"/>
    </row>
    <row r="125" customFormat="false" ht="15" hidden="false" customHeight="true" outlineLevel="0" collapsed="false">
      <c r="D125" s="14"/>
      <c r="F125" s="11"/>
    </row>
    <row r="126" customFormat="false" ht="15" hidden="false" customHeight="true" outlineLevel="0" collapsed="false">
      <c r="D126" s="14"/>
      <c r="F126" s="11"/>
    </row>
    <row r="127" customFormat="false" ht="15" hidden="false" customHeight="true" outlineLevel="0" collapsed="false">
      <c r="D127" s="14"/>
      <c r="F127" s="11"/>
    </row>
    <row r="128" customFormat="false" ht="15" hidden="false" customHeight="true" outlineLevel="0" collapsed="false">
      <c r="D128" s="14"/>
      <c r="F128" s="11"/>
    </row>
    <row r="129" customFormat="false" ht="15" hidden="false" customHeight="true" outlineLevel="0" collapsed="false">
      <c r="D129" s="14"/>
      <c r="F129" s="11"/>
    </row>
    <row r="130" customFormat="false" ht="15" hidden="false" customHeight="true" outlineLevel="0" collapsed="false">
      <c r="D130" s="14"/>
      <c r="F130" s="11"/>
    </row>
    <row r="131" customFormat="false" ht="15" hidden="false" customHeight="true" outlineLevel="0" collapsed="false">
      <c r="D131" s="14"/>
      <c r="F131" s="11"/>
    </row>
    <row r="132" customFormat="false" ht="15" hidden="false" customHeight="true" outlineLevel="0" collapsed="false">
      <c r="D132" s="14"/>
      <c r="F132" s="11"/>
    </row>
    <row r="133" customFormat="false" ht="15" hidden="false" customHeight="true" outlineLevel="0" collapsed="false">
      <c r="D133" s="14"/>
      <c r="F133" s="11"/>
    </row>
    <row r="134" customFormat="false" ht="15" hidden="false" customHeight="true" outlineLevel="0" collapsed="false">
      <c r="D134" s="14"/>
      <c r="F134" s="11"/>
    </row>
    <row r="135" customFormat="false" ht="15" hidden="false" customHeight="true" outlineLevel="0" collapsed="false">
      <c r="D135" s="14"/>
      <c r="F135" s="11"/>
    </row>
    <row r="136" customFormat="false" ht="15" hidden="false" customHeight="true" outlineLevel="0" collapsed="false">
      <c r="D136" s="14"/>
      <c r="F136" s="11"/>
    </row>
    <row r="137" customFormat="false" ht="15" hidden="false" customHeight="true" outlineLevel="0" collapsed="false">
      <c r="D137" s="14"/>
      <c r="F137" s="11"/>
    </row>
    <row r="138" customFormat="false" ht="15" hidden="false" customHeight="true" outlineLevel="0" collapsed="false">
      <c r="D138" s="14"/>
      <c r="F138" s="11"/>
    </row>
    <row r="139" customFormat="false" ht="15" hidden="false" customHeight="true" outlineLevel="0" collapsed="false">
      <c r="D139" s="14"/>
      <c r="F139" s="11"/>
    </row>
    <row r="140" customFormat="false" ht="15" hidden="false" customHeight="true" outlineLevel="0" collapsed="false">
      <c r="D140" s="14"/>
      <c r="F140" s="11"/>
    </row>
    <row r="141" customFormat="false" ht="15" hidden="false" customHeight="true" outlineLevel="0" collapsed="false">
      <c r="D141" s="14"/>
      <c r="F141" s="11"/>
    </row>
    <row r="142" customFormat="false" ht="15" hidden="false" customHeight="true" outlineLevel="0" collapsed="false">
      <c r="D142" s="14"/>
      <c r="F142" s="11"/>
    </row>
    <row r="143" customFormat="false" ht="15" hidden="false" customHeight="true" outlineLevel="0" collapsed="false">
      <c r="D143" s="14"/>
      <c r="F143" s="11"/>
    </row>
    <row r="144" customFormat="false" ht="15" hidden="false" customHeight="true" outlineLevel="0" collapsed="false">
      <c r="D144" s="14"/>
      <c r="F144" s="11"/>
    </row>
    <row r="145" customFormat="false" ht="15" hidden="false" customHeight="true" outlineLevel="0" collapsed="false">
      <c r="D145" s="14"/>
      <c r="F145" s="11"/>
    </row>
    <row r="146" customFormat="false" ht="15" hidden="false" customHeight="true" outlineLevel="0" collapsed="false">
      <c r="D146" s="14"/>
      <c r="F146" s="11"/>
    </row>
    <row r="147" customFormat="false" ht="15" hidden="false" customHeight="true" outlineLevel="0" collapsed="false">
      <c r="D147" s="14"/>
      <c r="F147" s="11"/>
    </row>
    <row r="148" customFormat="false" ht="15" hidden="false" customHeight="true" outlineLevel="0" collapsed="false">
      <c r="D148" s="14"/>
      <c r="F148" s="11"/>
    </row>
    <row r="149" customFormat="false" ht="15" hidden="false" customHeight="true" outlineLevel="0" collapsed="false">
      <c r="D149" s="14"/>
      <c r="F149" s="11"/>
    </row>
    <row r="150" customFormat="false" ht="15" hidden="false" customHeight="true" outlineLevel="0" collapsed="false">
      <c r="D150" s="14"/>
      <c r="F150" s="11"/>
    </row>
    <row r="151" customFormat="false" ht="15" hidden="false" customHeight="true" outlineLevel="0" collapsed="false">
      <c r="D151" s="14"/>
      <c r="F151" s="11"/>
    </row>
    <row r="152" customFormat="false" ht="15" hidden="false" customHeight="true" outlineLevel="0" collapsed="false">
      <c r="D152" s="14"/>
      <c r="F152" s="11"/>
    </row>
    <row r="153" customFormat="false" ht="15" hidden="false" customHeight="true" outlineLevel="0" collapsed="false">
      <c r="D153" s="14"/>
      <c r="F153" s="11"/>
    </row>
    <row r="154" customFormat="false" ht="15" hidden="false" customHeight="true" outlineLevel="0" collapsed="false">
      <c r="D154" s="14"/>
      <c r="F154" s="11"/>
    </row>
    <row r="155" customFormat="false" ht="15" hidden="false" customHeight="true" outlineLevel="0" collapsed="false">
      <c r="D155" s="14"/>
      <c r="F155" s="11"/>
    </row>
    <row r="156" customFormat="false" ht="15" hidden="false" customHeight="true" outlineLevel="0" collapsed="false">
      <c r="D156" s="14"/>
      <c r="F156" s="11"/>
    </row>
    <row r="157" customFormat="false" ht="15" hidden="false" customHeight="true" outlineLevel="0" collapsed="false">
      <c r="D157" s="14"/>
      <c r="F157" s="11"/>
    </row>
    <row r="158" customFormat="false" ht="15" hidden="false" customHeight="true" outlineLevel="0" collapsed="false">
      <c r="D158" s="14"/>
      <c r="F158" s="11"/>
    </row>
    <row r="159" customFormat="false" ht="15" hidden="false" customHeight="true" outlineLevel="0" collapsed="false">
      <c r="D159" s="14"/>
      <c r="F159" s="11"/>
    </row>
    <row r="160" customFormat="false" ht="15" hidden="false" customHeight="true" outlineLevel="0" collapsed="false">
      <c r="D160" s="14"/>
      <c r="F160" s="11"/>
    </row>
    <row r="161" customFormat="false" ht="15" hidden="false" customHeight="true" outlineLevel="0" collapsed="false">
      <c r="D161" s="14"/>
      <c r="F161" s="11"/>
    </row>
    <row r="162" customFormat="false" ht="15" hidden="false" customHeight="true" outlineLevel="0" collapsed="false">
      <c r="D162" s="14"/>
      <c r="F162" s="11"/>
    </row>
    <row r="163" customFormat="false" ht="15" hidden="false" customHeight="true" outlineLevel="0" collapsed="false">
      <c r="D163" s="14"/>
      <c r="F163" s="11"/>
    </row>
    <row r="164" customFormat="false" ht="15" hidden="false" customHeight="true" outlineLevel="0" collapsed="false">
      <c r="D164" s="14"/>
      <c r="F164" s="11"/>
    </row>
    <row r="165" customFormat="false" ht="15" hidden="false" customHeight="true" outlineLevel="0" collapsed="false">
      <c r="D165" s="14"/>
      <c r="F165" s="11"/>
    </row>
    <row r="166" customFormat="false" ht="15" hidden="false" customHeight="true" outlineLevel="0" collapsed="false">
      <c r="D166" s="14"/>
      <c r="F166" s="11"/>
    </row>
    <row r="167" customFormat="false" ht="15" hidden="false" customHeight="true" outlineLevel="0" collapsed="false">
      <c r="D167" s="14"/>
      <c r="F167" s="11"/>
    </row>
    <row r="168" customFormat="false" ht="15" hidden="false" customHeight="true" outlineLevel="0" collapsed="false">
      <c r="D168" s="14"/>
      <c r="F168" s="11"/>
    </row>
    <row r="169" customFormat="false" ht="15" hidden="false" customHeight="true" outlineLevel="0" collapsed="false">
      <c r="D169" s="14"/>
      <c r="F169" s="11"/>
    </row>
    <row r="170" customFormat="false" ht="15" hidden="false" customHeight="true" outlineLevel="0" collapsed="false">
      <c r="D170" s="14"/>
      <c r="F170" s="11"/>
    </row>
    <row r="171" customFormat="false" ht="15" hidden="false" customHeight="true" outlineLevel="0" collapsed="false">
      <c r="D171" s="14"/>
      <c r="F171" s="11"/>
    </row>
    <row r="172" customFormat="false" ht="15" hidden="false" customHeight="true" outlineLevel="0" collapsed="false">
      <c r="D172" s="14"/>
      <c r="F172" s="11"/>
    </row>
    <row r="173" customFormat="false" ht="15" hidden="false" customHeight="true" outlineLevel="0" collapsed="false">
      <c r="D173" s="14"/>
      <c r="F173" s="11"/>
    </row>
    <row r="174" customFormat="false" ht="15" hidden="false" customHeight="true" outlineLevel="0" collapsed="false">
      <c r="D174" s="14"/>
      <c r="F174" s="11"/>
    </row>
    <row r="175" customFormat="false" ht="15" hidden="false" customHeight="true" outlineLevel="0" collapsed="false">
      <c r="D175" s="14"/>
      <c r="F175" s="11"/>
    </row>
    <row r="176" customFormat="false" ht="15" hidden="false" customHeight="true" outlineLevel="0" collapsed="false">
      <c r="D176" s="14"/>
      <c r="F176" s="11"/>
    </row>
    <row r="177" customFormat="false" ht="15" hidden="false" customHeight="true" outlineLevel="0" collapsed="false">
      <c r="D177" s="14"/>
      <c r="F177" s="11"/>
    </row>
    <row r="178" customFormat="false" ht="15" hidden="false" customHeight="true" outlineLevel="0" collapsed="false">
      <c r="D178" s="14"/>
      <c r="F178" s="11"/>
    </row>
    <row r="179" customFormat="false" ht="15" hidden="false" customHeight="true" outlineLevel="0" collapsed="false">
      <c r="D179" s="14"/>
      <c r="F179" s="11"/>
    </row>
    <row r="180" customFormat="false" ht="15" hidden="false" customHeight="true" outlineLevel="0" collapsed="false">
      <c r="D180" s="14"/>
      <c r="F180" s="11"/>
    </row>
    <row r="181" customFormat="false" ht="15" hidden="false" customHeight="true" outlineLevel="0" collapsed="false">
      <c r="D181" s="14"/>
      <c r="F181" s="11"/>
    </row>
    <row r="182" customFormat="false" ht="15" hidden="false" customHeight="true" outlineLevel="0" collapsed="false">
      <c r="D182" s="14"/>
      <c r="F182" s="11"/>
    </row>
    <row r="183" customFormat="false" ht="15" hidden="false" customHeight="true" outlineLevel="0" collapsed="false">
      <c r="D183" s="14"/>
      <c r="F183" s="11"/>
    </row>
    <row r="184" customFormat="false" ht="15" hidden="false" customHeight="true" outlineLevel="0" collapsed="false">
      <c r="D184" s="14"/>
      <c r="F184" s="11"/>
    </row>
    <row r="185" customFormat="false" ht="15" hidden="false" customHeight="true" outlineLevel="0" collapsed="false">
      <c r="D185" s="14"/>
      <c r="F185" s="11"/>
    </row>
    <row r="186" customFormat="false" ht="15" hidden="false" customHeight="true" outlineLevel="0" collapsed="false">
      <c r="D186" s="14"/>
      <c r="F186" s="11"/>
    </row>
    <row r="187" customFormat="false" ht="15" hidden="false" customHeight="true" outlineLevel="0" collapsed="false">
      <c r="D187" s="14"/>
      <c r="F187" s="11"/>
    </row>
    <row r="188" customFormat="false" ht="15" hidden="false" customHeight="true" outlineLevel="0" collapsed="false">
      <c r="D188" s="14"/>
      <c r="F188" s="11"/>
    </row>
    <row r="189" customFormat="false" ht="15" hidden="false" customHeight="true" outlineLevel="0" collapsed="false">
      <c r="D189" s="14"/>
      <c r="F189" s="11"/>
    </row>
    <row r="190" customFormat="false" ht="15" hidden="false" customHeight="true" outlineLevel="0" collapsed="false">
      <c r="D190" s="14"/>
      <c r="F190" s="11"/>
    </row>
    <row r="191" customFormat="false" ht="15" hidden="false" customHeight="true" outlineLevel="0" collapsed="false">
      <c r="D191" s="14"/>
      <c r="F191" s="11"/>
    </row>
    <row r="192" customFormat="false" ht="15" hidden="false" customHeight="true" outlineLevel="0" collapsed="false">
      <c r="D192" s="14"/>
      <c r="F192" s="11"/>
    </row>
    <row r="193" customFormat="false" ht="15" hidden="false" customHeight="true" outlineLevel="0" collapsed="false">
      <c r="D193" s="14"/>
      <c r="F193" s="11"/>
    </row>
    <row r="194" customFormat="false" ht="15" hidden="false" customHeight="true" outlineLevel="0" collapsed="false">
      <c r="D194" s="14"/>
      <c r="F194" s="11"/>
    </row>
    <row r="195" customFormat="false" ht="15" hidden="false" customHeight="true" outlineLevel="0" collapsed="false">
      <c r="D195" s="14"/>
      <c r="F195" s="11"/>
    </row>
    <row r="196" customFormat="false" ht="15" hidden="false" customHeight="true" outlineLevel="0" collapsed="false">
      <c r="D196" s="14"/>
      <c r="F196" s="11"/>
    </row>
    <row r="197" customFormat="false" ht="15" hidden="false" customHeight="true" outlineLevel="0" collapsed="false">
      <c r="D197" s="14"/>
      <c r="F197" s="11"/>
    </row>
    <row r="198" customFormat="false" ht="15" hidden="false" customHeight="true" outlineLevel="0" collapsed="false">
      <c r="D198" s="14"/>
      <c r="F198" s="11"/>
    </row>
    <row r="199" customFormat="false" ht="15" hidden="false" customHeight="true" outlineLevel="0" collapsed="false">
      <c r="D199" s="14"/>
      <c r="F199" s="11"/>
    </row>
    <row r="200" customFormat="false" ht="15" hidden="false" customHeight="true" outlineLevel="0" collapsed="false">
      <c r="D200" s="14"/>
      <c r="F200" s="11"/>
    </row>
    <row r="201" customFormat="false" ht="15" hidden="false" customHeight="true" outlineLevel="0" collapsed="false">
      <c r="D201" s="14"/>
      <c r="F201" s="11"/>
    </row>
    <row r="202" customFormat="false" ht="15" hidden="false" customHeight="true" outlineLevel="0" collapsed="false">
      <c r="D202" s="14"/>
      <c r="F202" s="11"/>
    </row>
    <row r="203" customFormat="false" ht="15" hidden="false" customHeight="true" outlineLevel="0" collapsed="false">
      <c r="D203" s="14"/>
      <c r="F203" s="11"/>
    </row>
    <row r="204" customFormat="false" ht="15" hidden="false" customHeight="true" outlineLevel="0" collapsed="false">
      <c r="D204" s="14"/>
      <c r="F204" s="11"/>
    </row>
    <row r="205" customFormat="false" ht="15" hidden="false" customHeight="true" outlineLevel="0" collapsed="false">
      <c r="D205" s="14"/>
      <c r="F205" s="11"/>
    </row>
    <row r="206" customFormat="false" ht="15" hidden="false" customHeight="true" outlineLevel="0" collapsed="false">
      <c r="D206" s="14"/>
      <c r="F206" s="11"/>
    </row>
    <row r="207" customFormat="false" ht="15" hidden="false" customHeight="true" outlineLevel="0" collapsed="false">
      <c r="D207" s="14"/>
      <c r="F207" s="11"/>
    </row>
    <row r="208" customFormat="false" ht="15" hidden="false" customHeight="true" outlineLevel="0" collapsed="false">
      <c r="D208" s="14"/>
      <c r="F208" s="11"/>
    </row>
    <row r="209" customFormat="false" ht="15" hidden="false" customHeight="true" outlineLevel="0" collapsed="false">
      <c r="D209" s="14"/>
      <c r="F209" s="11"/>
    </row>
    <row r="210" customFormat="false" ht="15" hidden="false" customHeight="true" outlineLevel="0" collapsed="false">
      <c r="D210" s="14"/>
      <c r="F210" s="11"/>
    </row>
    <row r="211" customFormat="false" ht="15" hidden="false" customHeight="true" outlineLevel="0" collapsed="false">
      <c r="D211" s="14"/>
      <c r="F211" s="11"/>
    </row>
    <row r="212" customFormat="false" ht="15" hidden="false" customHeight="true" outlineLevel="0" collapsed="false">
      <c r="D212" s="14"/>
      <c r="F212" s="11"/>
    </row>
    <row r="213" customFormat="false" ht="15" hidden="false" customHeight="true" outlineLevel="0" collapsed="false">
      <c r="D213" s="14"/>
      <c r="F213" s="11"/>
    </row>
    <row r="214" customFormat="false" ht="15" hidden="false" customHeight="true" outlineLevel="0" collapsed="false">
      <c r="D214" s="14"/>
      <c r="F214" s="11"/>
    </row>
    <row r="215" customFormat="false" ht="15" hidden="false" customHeight="true" outlineLevel="0" collapsed="false">
      <c r="D215" s="14"/>
      <c r="F215" s="11"/>
    </row>
    <row r="216" customFormat="false" ht="15" hidden="false" customHeight="true" outlineLevel="0" collapsed="false">
      <c r="D216" s="14"/>
      <c r="F216" s="11"/>
    </row>
    <row r="217" customFormat="false" ht="15" hidden="false" customHeight="true" outlineLevel="0" collapsed="false">
      <c r="D217" s="14"/>
      <c r="F217" s="11"/>
    </row>
    <row r="218" customFormat="false" ht="15" hidden="false" customHeight="true" outlineLevel="0" collapsed="false">
      <c r="D218" s="14"/>
      <c r="F218" s="11"/>
    </row>
    <row r="219" customFormat="false" ht="15" hidden="false" customHeight="true" outlineLevel="0" collapsed="false">
      <c r="D219" s="14"/>
      <c r="F219" s="11"/>
    </row>
    <row r="220" customFormat="false" ht="15" hidden="false" customHeight="true" outlineLevel="0" collapsed="false">
      <c r="D220" s="14"/>
      <c r="F220" s="11"/>
    </row>
    <row r="221" customFormat="false" ht="15" hidden="false" customHeight="true" outlineLevel="0" collapsed="false">
      <c r="D221" s="14"/>
      <c r="F221" s="11"/>
    </row>
    <row r="222" customFormat="false" ht="15" hidden="false" customHeight="true" outlineLevel="0" collapsed="false">
      <c r="D222" s="14"/>
      <c r="F222" s="11"/>
    </row>
    <row r="223" customFormat="false" ht="15" hidden="false" customHeight="true" outlineLevel="0" collapsed="false">
      <c r="D223" s="14"/>
      <c r="F223" s="11"/>
    </row>
    <row r="224" customFormat="false" ht="15" hidden="false" customHeight="true" outlineLevel="0" collapsed="false">
      <c r="D224" s="14"/>
      <c r="F224" s="11"/>
    </row>
    <row r="225" customFormat="false" ht="15" hidden="false" customHeight="true" outlineLevel="0" collapsed="false">
      <c r="D225" s="14"/>
      <c r="F225" s="11"/>
    </row>
    <row r="226" customFormat="false" ht="15" hidden="false" customHeight="true" outlineLevel="0" collapsed="false">
      <c r="D226" s="14"/>
      <c r="F226" s="11"/>
    </row>
    <row r="227" customFormat="false" ht="15" hidden="false" customHeight="true" outlineLevel="0" collapsed="false">
      <c r="D227" s="14"/>
      <c r="F227" s="11"/>
    </row>
    <row r="228" customFormat="false" ht="15" hidden="false" customHeight="true" outlineLevel="0" collapsed="false">
      <c r="D228" s="14"/>
      <c r="F228" s="11"/>
    </row>
    <row r="229" customFormat="false" ht="15" hidden="false" customHeight="true" outlineLevel="0" collapsed="false">
      <c r="D229" s="14"/>
      <c r="F229" s="11"/>
    </row>
    <row r="230" customFormat="false" ht="15" hidden="false" customHeight="true" outlineLevel="0" collapsed="false">
      <c r="D230" s="14"/>
      <c r="F230" s="11"/>
    </row>
    <row r="231" customFormat="false" ht="15" hidden="false" customHeight="true" outlineLevel="0" collapsed="false">
      <c r="D231" s="14"/>
      <c r="F231" s="11"/>
    </row>
    <row r="232" customFormat="false" ht="15" hidden="false" customHeight="true" outlineLevel="0" collapsed="false">
      <c r="D232" s="14"/>
      <c r="F232" s="11"/>
    </row>
    <row r="233" customFormat="false" ht="15" hidden="false" customHeight="true" outlineLevel="0" collapsed="false">
      <c r="D233" s="14"/>
      <c r="F233" s="11"/>
    </row>
    <row r="234" customFormat="false" ht="15" hidden="false" customHeight="true" outlineLevel="0" collapsed="false">
      <c r="D234" s="14"/>
      <c r="F234" s="11"/>
    </row>
    <row r="235" customFormat="false" ht="15" hidden="false" customHeight="true" outlineLevel="0" collapsed="false">
      <c r="D235" s="14"/>
      <c r="F235" s="11"/>
    </row>
    <row r="236" customFormat="false" ht="15" hidden="false" customHeight="true" outlineLevel="0" collapsed="false">
      <c r="D236" s="14"/>
      <c r="F236" s="11"/>
    </row>
    <row r="237" customFormat="false" ht="15" hidden="false" customHeight="true" outlineLevel="0" collapsed="false">
      <c r="D237" s="14"/>
      <c r="F237" s="11"/>
    </row>
    <row r="238" customFormat="false" ht="15" hidden="false" customHeight="true" outlineLevel="0" collapsed="false">
      <c r="D238" s="14"/>
      <c r="F238" s="11"/>
    </row>
    <row r="239" customFormat="false" ht="15" hidden="false" customHeight="true" outlineLevel="0" collapsed="false">
      <c r="D239" s="14"/>
      <c r="F239" s="11"/>
    </row>
    <row r="240" customFormat="false" ht="15" hidden="false" customHeight="true" outlineLevel="0" collapsed="false">
      <c r="D240" s="14"/>
      <c r="F240" s="11"/>
    </row>
    <row r="241" customFormat="false" ht="15" hidden="false" customHeight="true" outlineLevel="0" collapsed="false">
      <c r="D241" s="14"/>
      <c r="F241" s="11"/>
    </row>
    <row r="242" customFormat="false" ht="15" hidden="false" customHeight="true" outlineLevel="0" collapsed="false">
      <c r="D242" s="14"/>
      <c r="F242" s="11"/>
    </row>
    <row r="243" customFormat="false" ht="15" hidden="false" customHeight="true" outlineLevel="0" collapsed="false">
      <c r="D243" s="14"/>
      <c r="F243" s="11"/>
    </row>
    <row r="244" customFormat="false" ht="15" hidden="false" customHeight="true" outlineLevel="0" collapsed="false">
      <c r="D244" s="14"/>
      <c r="F244" s="11"/>
    </row>
    <row r="245" customFormat="false" ht="15" hidden="false" customHeight="true" outlineLevel="0" collapsed="false">
      <c r="D245" s="14"/>
      <c r="F245" s="11"/>
    </row>
    <row r="246" customFormat="false" ht="15" hidden="false" customHeight="true" outlineLevel="0" collapsed="false">
      <c r="D246" s="14"/>
      <c r="F246" s="11"/>
    </row>
    <row r="247" customFormat="false" ht="15" hidden="false" customHeight="true" outlineLevel="0" collapsed="false">
      <c r="D247" s="14"/>
      <c r="F247" s="11"/>
    </row>
    <row r="248" customFormat="false" ht="15" hidden="false" customHeight="true" outlineLevel="0" collapsed="false">
      <c r="D248" s="14"/>
      <c r="F248" s="11"/>
    </row>
    <row r="249" customFormat="false" ht="15" hidden="false" customHeight="true" outlineLevel="0" collapsed="false">
      <c r="D249" s="14"/>
      <c r="F249" s="11"/>
    </row>
    <row r="250" customFormat="false" ht="15" hidden="false" customHeight="true" outlineLevel="0" collapsed="false">
      <c r="D250" s="14"/>
      <c r="F250" s="11"/>
    </row>
    <row r="251" customFormat="false" ht="15" hidden="false" customHeight="true" outlineLevel="0" collapsed="false">
      <c r="D251" s="14"/>
      <c r="F251" s="11"/>
    </row>
    <row r="252" customFormat="false" ht="15" hidden="false" customHeight="true" outlineLevel="0" collapsed="false">
      <c r="D252" s="14"/>
      <c r="F252" s="11"/>
    </row>
    <row r="253" customFormat="false" ht="15" hidden="false" customHeight="true" outlineLevel="0" collapsed="false">
      <c r="D253" s="14"/>
      <c r="F253" s="11"/>
    </row>
    <row r="254" customFormat="false" ht="15" hidden="false" customHeight="true" outlineLevel="0" collapsed="false">
      <c r="D254" s="14"/>
      <c r="F254" s="11"/>
    </row>
    <row r="255" customFormat="false" ht="15" hidden="false" customHeight="true" outlineLevel="0" collapsed="false">
      <c r="D255" s="14"/>
      <c r="F255" s="11"/>
    </row>
    <row r="256" customFormat="false" ht="15" hidden="false" customHeight="true" outlineLevel="0" collapsed="false">
      <c r="D256" s="14"/>
      <c r="F256" s="11"/>
    </row>
    <row r="257" customFormat="false" ht="15" hidden="false" customHeight="true" outlineLevel="0" collapsed="false">
      <c r="D257" s="14"/>
      <c r="F257" s="11"/>
    </row>
    <row r="258" customFormat="false" ht="15" hidden="false" customHeight="true" outlineLevel="0" collapsed="false">
      <c r="D258" s="14"/>
      <c r="F258" s="11"/>
    </row>
    <row r="259" customFormat="false" ht="15" hidden="false" customHeight="true" outlineLevel="0" collapsed="false">
      <c r="D259" s="14"/>
      <c r="F259" s="11"/>
    </row>
    <row r="260" customFormat="false" ht="15" hidden="false" customHeight="true" outlineLevel="0" collapsed="false">
      <c r="D260" s="14"/>
      <c r="F260" s="11"/>
    </row>
    <row r="261" customFormat="false" ht="15" hidden="false" customHeight="true" outlineLevel="0" collapsed="false">
      <c r="D261" s="14"/>
      <c r="F261" s="11"/>
    </row>
    <row r="262" customFormat="false" ht="15" hidden="false" customHeight="true" outlineLevel="0" collapsed="false">
      <c r="D262" s="14"/>
      <c r="F262" s="11"/>
    </row>
    <row r="263" customFormat="false" ht="15" hidden="false" customHeight="true" outlineLevel="0" collapsed="false">
      <c r="D263" s="14"/>
      <c r="F263" s="11"/>
    </row>
    <row r="264" customFormat="false" ht="15" hidden="false" customHeight="true" outlineLevel="0" collapsed="false">
      <c r="D264" s="14"/>
      <c r="F264" s="11"/>
    </row>
    <row r="265" customFormat="false" ht="15" hidden="false" customHeight="true" outlineLevel="0" collapsed="false">
      <c r="D265" s="14"/>
      <c r="F265" s="11"/>
    </row>
    <row r="266" customFormat="false" ht="15" hidden="false" customHeight="true" outlineLevel="0" collapsed="false">
      <c r="D266" s="14"/>
      <c r="F266" s="11"/>
    </row>
    <row r="267" customFormat="false" ht="15" hidden="false" customHeight="true" outlineLevel="0" collapsed="false">
      <c r="D267" s="14"/>
      <c r="F267" s="11"/>
    </row>
    <row r="268" customFormat="false" ht="15" hidden="false" customHeight="true" outlineLevel="0" collapsed="false">
      <c r="D268" s="14"/>
      <c r="F268" s="11"/>
    </row>
    <row r="269" customFormat="false" ht="15" hidden="false" customHeight="true" outlineLevel="0" collapsed="false">
      <c r="D269" s="14"/>
      <c r="F269" s="11"/>
    </row>
    <row r="270" customFormat="false" ht="15" hidden="false" customHeight="true" outlineLevel="0" collapsed="false">
      <c r="D270" s="14"/>
      <c r="F270" s="11"/>
    </row>
    <row r="271" customFormat="false" ht="15" hidden="false" customHeight="true" outlineLevel="0" collapsed="false">
      <c r="D271" s="14"/>
      <c r="F271" s="11"/>
    </row>
    <row r="272" customFormat="false" ht="15" hidden="false" customHeight="true" outlineLevel="0" collapsed="false">
      <c r="D272" s="14"/>
      <c r="F272" s="11"/>
    </row>
    <row r="273" customFormat="false" ht="15" hidden="false" customHeight="true" outlineLevel="0" collapsed="false">
      <c r="D273" s="14"/>
      <c r="F273" s="11"/>
    </row>
    <row r="274" customFormat="false" ht="15" hidden="false" customHeight="true" outlineLevel="0" collapsed="false">
      <c r="D274" s="14"/>
      <c r="F274" s="11"/>
    </row>
    <row r="275" customFormat="false" ht="15" hidden="false" customHeight="true" outlineLevel="0" collapsed="false">
      <c r="D275" s="14"/>
      <c r="F275" s="11"/>
    </row>
    <row r="276" customFormat="false" ht="15" hidden="false" customHeight="true" outlineLevel="0" collapsed="false">
      <c r="D276" s="14"/>
      <c r="F276" s="11"/>
    </row>
    <row r="277" customFormat="false" ht="15" hidden="false" customHeight="true" outlineLevel="0" collapsed="false">
      <c r="D277" s="14"/>
      <c r="F277" s="11"/>
    </row>
    <row r="278" customFormat="false" ht="15" hidden="false" customHeight="true" outlineLevel="0" collapsed="false">
      <c r="D278" s="14"/>
      <c r="F278" s="11"/>
    </row>
    <row r="279" customFormat="false" ht="15" hidden="false" customHeight="true" outlineLevel="0" collapsed="false">
      <c r="D279" s="14"/>
      <c r="F279" s="11"/>
    </row>
    <row r="280" customFormat="false" ht="15" hidden="false" customHeight="true" outlineLevel="0" collapsed="false">
      <c r="D280" s="14"/>
      <c r="F280" s="11"/>
    </row>
    <row r="281" customFormat="false" ht="15" hidden="false" customHeight="true" outlineLevel="0" collapsed="false">
      <c r="D281" s="14"/>
      <c r="F281" s="11"/>
    </row>
    <row r="282" customFormat="false" ht="15" hidden="false" customHeight="true" outlineLevel="0" collapsed="false">
      <c r="D282" s="14"/>
      <c r="F282" s="11"/>
    </row>
    <row r="283" customFormat="false" ht="15" hidden="false" customHeight="true" outlineLevel="0" collapsed="false">
      <c r="D283" s="14"/>
      <c r="F283" s="11"/>
    </row>
    <row r="284" customFormat="false" ht="15" hidden="false" customHeight="true" outlineLevel="0" collapsed="false">
      <c r="D284" s="14"/>
      <c r="F284" s="11"/>
    </row>
    <row r="285" customFormat="false" ht="15" hidden="false" customHeight="true" outlineLevel="0" collapsed="false">
      <c r="D285" s="14"/>
      <c r="F285" s="11"/>
    </row>
    <row r="286" customFormat="false" ht="15" hidden="false" customHeight="true" outlineLevel="0" collapsed="false">
      <c r="D286" s="14"/>
      <c r="F286" s="11"/>
    </row>
    <row r="287" customFormat="false" ht="15" hidden="false" customHeight="true" outlineLevel="0" collapsed="false">
      <c r="D287" s="14"/>
      <c r="F287" s="11"/>
    </row>
    <row r="288" customFormat="false" ht="15" hidden="false" customHeight="true" outlineLevel="0" collapsed="false">
      <c r="D288" s="14"/>
      <c r="F288" s="11"/>
    </row>
    <row r="289" customFormat="false" ht="15" hidden="false" customHeight="true" outlineLevel="0" collapsed="false">
      <c r="D289" s="14"/>
      <c r="F289" s="11"/>
    </row>
    <row r="290" customFormat="false" ht="15" hidden="false" customHeight="true" outlineLevel="0" collapsed="false">
      <c r="D290" s="14"/>
      <c r="F290" s="11"/>
    </row>
    <row r="291" customFormat="false" ht="15" hidden="false" customHeight="true" outlineLevel="0" collapsed="false">
      <c r="D291" s="14"/>
      <c r="F291" s="11"/>
    </row>
    <row r="292" customFormat="false" ht="15" hidden="false" customHeight="true" outlineLevel="0" collapsed="false">
      <c r="D292" s="14"/>
      <c r="F292" s="11"/>
    </row>
    <row r="293" customFormat="false" ht="15" hidden="false" customHeight="true" outlineLevel="0" collapsed="false">
      <c r="D293" s="14"/>
      <c r="F293" s="11"/>
    </row>
    <row r="294" customFormat="false" ht="15" hidden="false" customHeight="true" outlineLevel="0" collapsed="false">
      <c r="D294" s="14"/>
      <c r="F294" s="11"/>
    </row>
    <row r="295" customFormat="false" ht="15" hidden="false" customHeight="true" outlineLevel="0" collapsed="false">
      <c r="D295" s="14"/>
      <c r="F295" s="11"/>
    </row>
    <row r="296" customFormat="false" ht="15" hidden="false" customHeight="true" outlineLevel="0" collapsed="false">
      <c r="D296" s="14"/>
      <c r="F296" s="11"/>
    </row>
    <row r="297" customFormat="false" ht="15" hidden="false" customHeight="true" outlineLevel="0" collapsed="false">
      <c r="D297" s="14"/>
      <c r="F297" s="11"/>
    </row>
    <row r="298" customFormat="false" ht="15" hidden="false" customHeight="true" outlineLevel="0" collapsed="false">
      <c r="D298" s="14"/>
      <c r="F298" s="11"/>
    </row>
    <row r="299" customFormat="false" ht="15" hidden="false" customHeight="true" outlineLevel="0" collapsed="false">
      <c r="D299" s="14"/>
      <c r="F299" s="11"/>
    </row>
    <row r="300" customFormat="false" ht="15" hidden="false" customHeight="true" outlineLevel="0" collapsed="false">
      <c r="D300" s="14"/>
      <c r="F300" s="11"/>
    </row>
  </sheetData>
  <autoFilter ref="A1:H300"/>
  <conditionalFormatting sqref="A2:H300">
    <cfRule type="expression" priority="2" aboveAverage="0" equalAverage="0" bottom="0" percent="0" rank="0" text="" dxfId="7">
      <formula>$E2="Disponível"</formula>
    </cfRule>
    <cfRule type="expression" priority="3" aboveAverage="0" equalAverage="0" bottom="0" percent="0" rank="0" text="" dxfId="8">
      <formula>$E2="Alugado"</formula>
    </cfRule>
    <cfRule type="expression" priority="4" aboveAverage="0" equalAverage="0" bottom="0" percent="0" rank="0" text="" dxfId="9">
      <formula>$E2="Em manutenção"</formula>
    </cfRule>
    <cfRule type="expression" priority="5" aboveAverage="0" equalAverage="0" bottom="0" percent="0" rank="0" text="" dxfId="10">
      <formula>$E2="Inativo"</formula>
    </cfRule>
  </conditionalFormatting>
  <dataValidations count="1">
    <dataValidation allowBlank="true" error="Escolha um status da lista" errorStyle="stop" operator="between" showDropDown="false" showErrorMessage="true" showInputMessage="false" sqref="E2:E300" type="list">
      <formula1>Listas!$A$2:$A$5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</cols>
  <sheetData>
    <row r="1" customFormat="false" ht="15" hidden="false" customHeight="true" outlineLevel="0" collapsed="false">
      <c r="A1" s="4" t="s">
        <v>37</v>
      </c>
      <c r="B1" s="4" t="s">
        <v>33</v>
      </c>
      <c r="C1" s="4" t="s">
        <v>89</v>
      </c>
      <c r="D1" s="4" t="s">
        <v>90</v>
      </c>
    </row>
    <row r="2" customFormat="false" ht="15" hidden="false" customHeight="true" outlineLevel="0" collapsed="false">
      <c r="A2" s="3" t="s">
        <v>17</v>
      </c>
      <c r="B2" s="3" t="s">
        <v>45</v>
      </c>
      <c r="C2" s="3" t="s">
        <v>46</v>
      </c>
      <c r="D2" s="3" t="s">
        <v>91</v>
      </c>
    </row>
    <row r="3" customFormat="false" ht="15" hidden="false" customHeight="true" outlineLevel="0" collapsed="false">
      <c r="A3" s="3" t="s">
        <v>18</v>
      </c>
      <c r="B3" s="3" t="s">
        <v>51</v>
      </c>
      <c r="C3" s="3" t="s">
        <v>91</v>
      </c>
      <c r="D3" s="3" t="s">
        <v>29</v>
      </c>
    </row>
    <row r="4" customFormat="false" ht="15" hidden="false" customHeight="true" outlineLevel="0" collapsed="false">
      <c r="A4" s="3" t="s">
        <v>19</v>
      </c>
      <c r="B4" s="3" t="s">
        <v>92</v>
      </c>
      <c r="D4" s="3" t="s">
        <v>93</v>
      </c>
    </row>
    <row r="5" customFormat="false" ht="15" hidden="false" customHeight="true" outlineLevel="0" collapsed="false">
      <c r="A5" s="3" t="s">
        <v>20</v>
      </c>
      <c r="D5" s="3" t="s">
        <v>47</v>
      </c>
    </row>
    <row r="6" customFormat="false" ht="15" hidden="false" customHeight="true" outlineLevel="0" collapsed="false">
      <c r="D6" s="3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2026-10-22T00:22:46Z</dcterms:created>
  <dc:creator>openpyxl</dc:creator>
  <dc:description/>
  <dc:language>en-US</dc:language>
  <cp:lastModifiedBy/>
  <dcterms:modified xsi:type="dcterms:W3CDTF">2026-10-22T23:10:09Z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